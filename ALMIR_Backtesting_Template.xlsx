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 by Category" sheetId="2" state="visible" r:id="rId2"/>
    <sheet xmlns:r="http://schemas.openxmlformats.org/officeDocument/2006/relationships" name="Summary by Timeframe" sheetId="3" state="visible" r:id="rId3"/>
    <sheet xmlns:r="http://schemas.openxmlformats.org/officeDocument/2006/relationships" name="Summary by Pair" sheetId="4" state="visible" r:id="rId4"/>
    <sheet xmlns:r="http://schemas.openxmlformats.org/officeDocument/2006/relationships" name="Top Performers" sheetId="5" state="visible" r:id="rId5"/>
    <sheet xmlns:r="http://schemas.openxmlformats.org/officeDocument/2006/relationships" name="Parameter Analysis" sheetId="6" state="visible" r:id="rId6"/>
    <sheet xmlns:r="http://schemas.openxmlformats.org/officeDocument/2006/relationships" name="Candle Analysis" sheetId="7" state="visible" r:id="rId7"/>
    <sheet xmlns:r="http://schemas.openxmlformats.org/officeDocument/2006/relationships" name="Charts &amp; Visualiz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00"/>
      <sz val="11"/>
    </font>
    <font>
      <b val="1"/>
      <sz val="11"/>
    </font>
    <font>
      <i val="1"/>
      <color rgb="00808080"/>
    </font>
    <font>
      <b val="1"/>
      <color rgb="00FFFFFF"/>
      <sz val="14"/>
    </font>
    <font>
      <b val="1"/>
    </font>
    <font>
      <b val="1"/>
      <sz val="16"/>
    </font>
    <font>
      <b val="1"/>
      <sz val="12"/>
    </font>
    <font>
      <b val="1"/>
      <sz val="18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2" borderId="0" pivotButton="0" quotePrefix="0" xfId="0"/>
    <xf numFmtId="0" fontId="6" fillId="6" borderId="0" pivotButton="0" quotePrefix="0" xfId="0"/>
    <xf numFmtId="0" fontId="5" fillId="3" borderId="0" pivotButton="0" quotePrefix="0" xfId="0"/>
    <xf numFmtId="0" fontId="6" fillId="7" borderId="0" pivotButton="0" quotePrefix="0" xfId="0"/>
    <xf numFmtId="0" fontId="5" fillId="4" borderId="0" pivotButton="0" quotePrefix="0" xfId="0"/>
    <xf numFmtId="0" fontId="6" fillId="8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6" customWidth="1" min="7" max="7"/>
    <col width="11" customWidth="1" min="8" max="8"/>
    <col width="13" customWidth="1" min="9" max="9"/>
    <col width="15" customWidth="1" min="10" max="10"/>
    <col width="11" customWidth="1" min="11" max="11"/>
    <col width="11" customWidth="1" min="12" max="12"/>
    <col width="12" customWidth="1" min="13" max="13"/>
    <col width="16" customWidth="1" min="14" max="14"/>
    <col width="18" customWidth="1" min="15" max="15"/>
    <col width="22" customWidth="1" min="16" max="16"/>
    <col width="18" customWidth="1" min="17" max="17"/>
    <col width="16" customWidth="1" min="18" max="18"/>
    <col width="14" customWidth="1" min="19" max="19"/>
    <col width="14" customWidth="1" min="20" max="20"/>
    <col width="14" customWidth="1" min="21" max="21"/>
    <col width="14" customWidth="1" min="22" max="22"/>
    <col width="13" customWidth="1" min="23" max="23"/>
    <col width="13" customWidth="1" min="24" max="24"/>
    <col width="13" customWidth="1" min="25" max="25"/>
    <col width="12" customWidth="1" min="26" max="26"/>
    <col width="14" customWidth="1" min="27" max="27"/>
    <col width="14" customWidth="1" min="28" max="28"/>
    <col width="14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8" customWidth="1" min="35" max="35"/>
    <col width="18" customWidth="1" min="36" max="36"/>
    <col width="20" customWidth="1" min="37" max="37"/>
    <col width="22" customWidth="1" min="38" max="38"/>
    <col width="22" customWidth="1" min="39" max="39"/>
    <col width="18" customWidth="1" min="40" max="40"/>
    <col width="14" customWidth="1" min="41" max="41"/>
    <col width="30" customWidth="1" min="42" max="42"/>
  </cols>
  <sheetData>
    <row r="1">
      <c r="A1" s="1" t="inlineStr">
        <is>
          <t>Test ID</t>
        </is>
      </c>
      <c r="B1" s="1" t="inlineStr">
        <is>
          <t>Date Tested</t>
        </is>
      </c>
      <c r="C1" s="1" t="inlineStr">
        <is>
          <t>Symbol</t>
        </is>
      </c>
      <c r="D1" s="1" t="inlineStr">
        <is>
          <t>Category</t>
        </is>
      </c>
      <c r="E1" s="1" t="inlineStr">
        <is>
          <t>Timeframe</t>
        </is>
      </c>
      <c r="F1" s="1" t="inlineStr">
        <is>
          <t>Data Period</t>
        </is>
      </c>
      <c r="G1" s="1" t="inlineStr">
        <is>
          <t>Parameter Preset</t>
        </is>
      </c>
      <c r="H1" s="1" t="inlineStr">
        <is>
          <t>RSI Length</t>
        </is>
      </c>
      <c r="I1" s="1" t="inlineStr">
        <is>
          <t>RSI Oversold</t>
        </is>
      </c>
      <c r="J1" s="1" t="inlineStr">
        <is>
          <t>RSI Overbought</t>
        </is>
      </c>
      <c r="K1" s="1" t="inlineStr">
        <is>
          <t>MACD Fast</t>
        </is>
      </c>
      <c r="L1" s="1" t="inlineStr">
        <is>
          <t>MACD Slow</t>
        </is>
      </c>
      <c r="M1" s="1" t="inlineStr">
        <is>
          <t>MACD Signal</t>
        </is>
      </c>
      <c r="N1" s="1" t="inlineStr">
        <is>
          <t>Stochastic Length</t>
        </is>
      </c>
      <c r="O1" s="1" t="inlineStr">
        <is>
          <t>Min Confluence Score</t>
        </is>
      </c>
      <c r="P1" s="1" t="inlineStr">
        <is>
          <t>Min Bars Between Signals</t>
        </is>
      </c>
      <c r="Q1" s="1" t="inlineStr">
        <is>
          <t>Use Volatility Filter</t>
        </is>
      </c>
      <c r="R1" s="1" t="inlineStr">
        <is>
          <t>Use Trend Filter</t>
        </is>
      </c>
      <c r="S1" s="1" t="inlineStr">
        <is>
          <t>ATR Multiplier</t>
        </is>
      </c>
      <c r="T1" s="1" t="inlineStr">
        <is>
          <t>ADX Threshold</t>
        </is>
      </c>
      <c r="U1" s="1" t="inlineStr">
        <is>
          <t>Net Profit (%)</t>
        </is>
      </c>
      <c r="V1" s="1" t="inlineStr">
        <is>
          <t>Net Profit ($)</t>
        </is>
      </c>
      <c r="W1" s="1" t="inlineStr">
        <is>
          <t>Total Trades</t>
        </is>
      </c>
      <c r="X1" s="1" t="inlineStr">
        <is>
          <t>Winning Trades</t>
        </is>
      </c>
      <c r="Y1" s="1" t="inlineStr">
        <is>
          <t>Losing Trades</t>
        </is>
      </c>
      <c r="Z1" s="1" t="inlineStr">
        <is>
          <t>Win Rate (%)</t>
        </is>
      </c>
      <c r="AA1" s="1" t="inlineStr">
        <is>
          <t>Profit Factor</t>
        </is>
      </c>
      <c r="AB1" s="1" t="inlineStr">
        <is>
          <t>Max Drawdown (%)</t>
        </is>
      </c>
      <c r="AC1" s="1" t="inlineStr">
        <is>
          <t>Max Drawdown ($)</t>
        </is>
      </c>
      <c r="AD1" s="1" t="inlineStr">
        <is>
          <t>Sharpe Ratio</t>
        </is>
      </c>
      <c r="AE1" s="1" t="inlineStr">
        <is>
          <t>Average Trade (%)</t>
        </is>
      </c>
      <c r="AF1" s="1" t="inlineStr">
        <is>
          <t>Average Win (%)</t>
        </is>
      </c>
      <c r="AG1" s="1" t="inlineStr">
        <is>
          <t>Average Loss (%)</t>
        </is>
      </c>
      <c r="AH1" s="1" t="inlineStr">
        <is>
          <t>Largest Win (%)</t>
        </is>
      </c>
      <c r="AI1" s="1" t="inlineStr">
        <is>
          <t>Largest Loss (%)</t>
        </is>
      </c>
      <c r="AJ1" s="1" t="inlineStr">
        <is>
          <t>Average Trade Duration</t>
        </is>
      </c>
      <c r="AK1" s="1" t="inlineStr">
        <is>
          <t>Green Candle Trades</t>
        </is>
      </c>
      <c r="AL1" s="1" t="inlineStr">
        <is>
          <t>Red Candle Trades</t>
        </is>
      </c>
      <c r="AM1" s="1" t="inlineStr">
        <is>
          <t>Green Candle Win Rate (%)</t>
        </is>
      </c>
      <c r="AN1" s="1" t="inlineStr">
        <is>
          <t>Red Candle Win Rate (%)</t>
        </is>
      </c>
      <c r="AO1" s="1" t="inlineStr">
        <is>
          <t>Avg Confluence Score</t>
        </is>
      </c>
      <c r="AP1" s="1" t="inlineStr">
        <is>
          <t>Visual Quality (1-5)</t>
        </is>
      </c>
      <c r="AQ1" s="1" t="inlineStr">
        <is>
          <t>False Signals</t>
        </is>
      </c>
      <c r="AR1" s="1" t="inlineStr">
        <is>
          <t>Notes</t>
        </is>
      </c>
    </row>
    <row r="2">
      <c r="A2" t="inlineStr">
        <is>
          <t>T001</t>
        </is>
      </c>
      <c r="B2" t="inlineStr">
        <is>
          <t>2026-02-01</t>
        </is>
      </c>
      <c r="C2" t="inlineStr">
        <is>
          <t>BTCUSDT</t>
        </is>
      </c>
      <c r="D2" t="inlineStr">
        <is>
          <t>Large Cap</t>
        </is>
      </c>
      <c r="E2" t="inlineStr">
        <is>
          <t>4h</t>
        </is>
      </c>
      <c r="F2" t="inlineStr">
        <is>
          <t>1Y</t>
        </is>
      </c>
      <c r="G2" t="inlineStr">
        <is>
          <t>Default</t>
        </is>
      </c>
      <c r="H2" t="n">
        <v>14</v>
      </c>
      <c r="I2" t="n">
        <v>30</v>
      </c>
      <c r="J2" t="n">
        <v>65</v>
      </c>
      <c r="K2" t="n">
        <v>2</v>
      </c>
      <c r="L2" t="n">
        <v>30</v>
      </c>
      <c r="M2" t="n">
        <v>10</v>
      </c>
      <c r="N2" t="n">
        <v>14</v>
      </c>
      <c r="O2" t="n">
        <v>6</v>
      </c>
      <c r="P2" t="n">
        <v>10</v>
      </c>
      <c r="Q2" t="inlineStr">
        <is>
          <t>No</t>
        </is>
      </c>
      <c r="R2" t="inlineStr">
        <is>
          <t>No</t>
        </is>
      </c>
      <c r="S2" t="n">
        <v>1.5</v>
      </c>
      <c r="T2" t="n">
        <v>25</v>
      </c>
      <c r="U2" t="n">
        <v>45.5</v>
      </c>
      <c r="V2" t="n">
        <v>4550</v>
      </c>
      <c r="W2" t="n">
        <v>48</v>
      </c>
      <c r="X2" t="n">
        <v>28</v>
      </c>
      <c r="Y2" t="n">
        <v>20</v>
      </c>
      <c r="Z2" t="n">
        <v>58.33</v>
      </c>
      <c r="AB2" t="n">
        <v>-12.5</v>
      </c>
      <c r="AC2" t="n">
        <v>-568.75</v>
      </c>
      <c r="AD2" t="n">
        <v>1.85</v>
      </c>
      <c r="AE2" t="n">
        <v>0.95</v>
      </c>
      <c r="AF2" t="n">
        <v>2.15</v>
      </c>
      <c r="AG2" t="n">
        <v>-1.35</v>
      </c>
      <c r="AH2" t="n">
        <v>5.8</v>
      </c>
      <c r="AI2" t="n">
        <v>-3.2</v>
      </c>
      <c r="AJ2" t="inlineStr">
        <is>
          <t>4h 15m</t>
        </is>
      </c>
      <c r="AK2" t="n">
        <v>28</v>
      </c>
      <c r="AL2" t="n">
        <v>20</v>
      </c>
      <c r="AO2" t="n">
        <v>6.2</v>
      </c>
      <c r="AP2" t="n">
        <v>4</v>
      </c>
      <c r="AQ2" t="inlineStr">
        <is>
          <t>Medium</t>
        </is>
      </c>
      <c r="AR2" t="inlineStr">
        <is>
          <t>Good performance on BTC, strong trend following</t>
        </is>
      </c>
    </row>
    <row r="3">
      <c r="A3" t="inlineStr">
        <is>
          <t>T002</t>
        </is>
      </c>
      <c r="B3" t="inlineStr">
        <is>
          <t>2026-02-01</t>
        </is>
      </c>
      <c r="C3" t="inlineStr">
        <is>
          <t>BTCUSDT</t>
        </is>
      </c>
      <c r="D3" t="inlineStr">
        <is>
          <t>Large Cap</t>
        </is>
      </c>
      <c r="E3" t="inlineStr">
        <is>
          <t>1d</t>
        </is>
      </c>
      <c r="F3" t="inlineStr">
        <is>
          <t>1Y</t>
        </is>
      </c>
      <c r="G3" t="inlineStr">
        <is>
          <t>Default</t>
        </is>
      </c>
      <c r="H3" t="n">
        <v>14</v>
      </c>
      <c r="I3" t="n">
        <v>30</v>
      </c>
      <c r="J3" t="n">
        <v>65</v>
      </c>
      <c r="K3" t="n">
        <v>2</v>
      </c>
      <c r="L3" t="n">
        <v>30</v>
      </c>
      <c r="M3" t="n">
        <v>10</v>
      </c>
      <c r="N3" t="n">
        <v>14</v>
      </c>
      <c r="O3" t="n">
        <v>6</v>
      </c>
      <c r="P3" t="n">
        <v>10</v>
      </c>
      <c r="Q3" t="inlineStr">
        <is>
          <t>No</t>
        </is>
      </c>
      <c r="R3" t="inlineStr">
        <is>
          <t>No</t>
        </is>
      </c>
      <c r="S3" t="n">
        <v>1.5</v>
      </c>
      <c r="T3" t="n">
        <v>25</v>
      </c>
      <c r="U3" t="n">
        <v>62.8</v>
      </c>
      <c r="V3" t="n">
        <v>6280</v>
      </c>
      <c r="W3" t="n">
        <v>35</v>
      </c>
      <c r="X3" t="n">
        <v>23</v>
      </c>
      <c r="Y3" t="n">
        <v>12</v>
      </c>
      <c r="Z3" t="n">
        <v>65.70999999999999</v>
      </c>
      <c r="AB3" t="n">
        <v>-8.300000000000001</v>
      </c>
      <c r="AC3" t="n">
        <v>-521.24</v>
      </c>
      <c r="AD3" t="n">
        <v>2.35</v>
      </c>
      <c r="AE3" t="n">
        <v>1.79</v>
      </c>
      <c r="AF3" t="n">
        <v>3.25</v>
      </c>
      <c r="AG3" t="n">
        <v>-2.18</v>
      </c>
      <c r="AH3" t="n">
        <v>8.5</v>
      </c>
      <c r="AI3" t="n">
        <v>-4.5</v>
      </c>
      <c r="AJ3" t="inlineStr">
        <is>
          <t>2d 8h</t>
        </is>
      </c>
      <c r="AK3" t="n">
        <v>23</v>
      </c>
      <c r="AL3" t="n">
        <v>12</v>
      </c>
      <c r="AO3" t="n">
        <v>6.5</v>
      </c>
      <c r="AP3" t="n">
        <v>5</v>
      </c>
      <c r="AQ3" t="inlineStr">
        <is>
          <t>Low</t>
        </is>
      </c>
      <c r="AR3" t="inlineStr">
        <is>
          <t>Excellent on daily timeframe</t>
        </is>
      </c>
    </row>
    <row r="4">
      <c r="A4" t="inlineStr">
        <is>
          <t>T003</t>
        </is>
      </c>
      <c r="B4" t="inlineStr">
        <is>
          <t>2026-02-01</t>
        </is>
      </c>
      <c r="C4" t="inlineStr">
        <is>
          <t>ETHUSDT</t>
        </is>
      </c>
      <c r="D4" t="inlineStr">
        <is>
          <t>Large Cap</t>
        </is>
      </c>
      <c r="E4" t="inlineStr">
        <is>
          <t>4h</t>
        </is>
      </c>
      <c r="F4" t="inlineStr">
        <is>
          <t>1Y</t>
        </is>
      </c>
      <c r="G4" t="inlineStr">
        <is>
          <t>Default</t>
        </is>
      </c>
      <c r="H4" t="n">
        <v>14</v>
      </c>
      <c r="I4" t="n">
        <v>30</v>
      </c>
      <c r="J4" t="n">
        <v>65</v>
      </c>
      <c r="K4" t="n">
        <v>2</v>
      </c>
      <c r="L4" t="n">
        <v>30</v>
      </c>
      <c r="M4" t="n">
        <v>10</v>
      </c>
      <c r="N4" t="n">
        <v>14</v>
      </c>
      <c r="O4" t="n">
        <v>6</v>
      </c>
      <c r="P4" t="n">
        <v>10</v>
      </c>
      <c r="Q4" t="inlineStr">
        <is>
          <t>No</t>
        </is>
      </c>
      <c r="R4" t="inlineStr">
        <is>
          <t>No</t>
        </is>
      </c>
      <c r="S4" t="n">
        <v>1.5</v>
      </c>
      <c r="T4" t="n">
        <v>25</v>
      </c>
      <c r="U4" t="n">
        <v>38.2</v>
      </c>
      <c r="V4" t="n">
        <v>3820</v>
      </c>
      <c r="W4" t="n">
        <v>52</v>
      </c>
      <c r="X4" t="n">
        <v>29</v>
      </c>
      <c r="Y4" t="n">
        <v>23</v>
      </c>
      <c r="Z4" t="n">
        <v>55.77</v>
      </c>
      <c r="AB4" t="n">
        <v>-15.2</v>
      </c>
      <c r="AC4" t="n">
        <v>-580.64</v>
      </c>
      <c r="AD4" t="n">
        <v>1.68</v>
      </c>
      <c r="AE4" t="n">
        <v>0.73</v>
      </c>
      <c r="AF4" t="n">
        <v>2.05</v>
      </c>
      <c r="AG4" t="n">
        <v>-1.52</v>
      </c>
      <c r="AH4" t="n">
        <v>6.2</v>
      </c>
      <c r="AI4" t="n">
        <v>-3.8</v>
      </c>
      <c r="AJ4" t="inlineStr">
        <is>
          <t>4h 30m</t>
        </is>
      </c>
      <c r="AK4" t="n">
        <v>30</v>
      </c>
      <c r="AL4" t="n">
        <v>22</v>
      </c>
      <c r="AO4" t="n">
        <v>5.9</v>
      </c>
      <c r="AP4" t="n">
        <v>4</v>
      </c>
      <c r="AQ4" t="inlineStr">
        <is>
          <t>Medium</t>
        </is>
      </c>
      <c r="AR4" t="inlineStr">
        <is>
          <t>Good ETH performance</t>
        </is>
      </c>
    </row>
    <row r="5">
      <c r="A5" t="inlineStr">
        <is>
          <t>T004</t>
        </is>
      </c>
      <c r="B5" t="inlineStr">
        <is>
          <t>2026-02-01</t>
        </is>
      </c>
      <c r="C5" t="inlineStr">
        <is>
          <t>BNBUSDT</t>
        </is>
      </c>
      <c r="D5" t="inlineStr">
        <is>
          <t>Exchange Tokens</t>
        </is>
      </c>
      <c r="E5" t="inlineStr">
        <is>
          <t>1h</t>
        </is>
      </c>
      <c r="F5" t="inlineStr">
        <is>
          <t>1Y</t>
        </is>
      </c>
      <c r="G5" t="inlineStr">
        <is>
          <t>Conservative</t>
        </is>
      </c>
      <c r="H5" t="n">
        <v>10</v>
      </c>
      <c r="I5" t="n">
        <v>25</v>
      </c>
      <c r="J5" t="n">
        <v>70</v>
      </c>
      <c r="K5" t="n">
        <v>5</v>
      </c>
      <c r="L5" t="n">
        <v>26</v>
      </c>
      <c r="M5" t="n">
        <v>9</v>
      </c>
      <c r="N5" t="n">
        <v>10</v>
      </c>
      <c r="O5" t="n">
        <v>8</v>
      </c>
      <c r="P5" t="n">
        <v>12</v>
      </c>
      <c r="Q5" t="inlineStr">
        <is>
          <t>Yes</t>
        </is>
      </c>
      <c r="R5" t="inlineStr">
        <is>
          <t>Yes</t>
        </is>
      </c>
      <c r="S5" t="n">
        <v>2</v>
      </c>
      <c r="T5" t="n">
        <v>30</v>
      </c>
      <c r="U5" t="n">
        <v>28.5</v>
      </c>
      <c r="V5" t="n">
        <v>2850</v>
      </c>
      <c r="W5" t="n">
        <v>32</v>
      </c>
      <c r="X5" t="n">
        <v>18</v>
      </c>
      <c r="Y5" t="n">
        <v>14</v>
      </c>
      <c r="Z5" t="n">
        <v>56.25</v>
      </c>
      <c r="AB5" t="n">
        <v>-10.8</v>
      </c>
      <c r="AC5" t="n">
        <v>-307.8</v>
      </c>
      <c r="AD5" t="n">
        <v>1.45</v>
      </c>
      <c r="AE5" t="n">
        <v>0.89</v>
      </c>
      <c r="AF5" t="n">
        <v>2.42</v>
      </c>
      <c r="AG5" t="n">
        <v>-1.95</v>
      </c>
      <c r="AH5" t="n">
        <v>5.5</v>
      </c>
      <c r="AI5" t="n">
        <v>-3.8</v>
      </c>
      <c r="AJ5" t="inlineStr">
        <is>
          <t>1h 45m</t>
        </is>
      </c>
      <c r="AK5" t="n">
        <v>18</v>
      </c>
      <c r="AL5" t="n">
        <v>14</v>
      </c>
      <c r="AO5" t="n">
        <v>7.8</v>
      </c>
      <c r="AP5" t="n">
        <v>4</v>
      </c>
      <c r="AQ5" t="inlineStr">
        <is>
          <t>Low</t>
        </is>
      </c>
      <c r="AR5" t="inlineStr">
        <is>
          <t>Conservative approach reduces trades</t>
        </is>
      </c>
    </row>
    <row r="6">
      <c r="A6" t="inlineStr">
        <is>
          <t>T005</t>
        </is>
      </c>
      <c r="B6" t="inlineStr">
        <is>
          <t>2026-02-02</t>
        </is>
      </c>
      <c r="C6" t="inlineStr">
        <is>
          <t>SOLUSDT</t>
        </is>
      </c>
      <c r="D6" t="inlineStr">
        <is>
          <t>Layer 1</t>
        </is>
      </c>
      <c r="E6" t="inlineStr">
        <is>
          <t>4h</t>
        </is>
      </c>
      <c r="F6" t="inlineStr">
        <is>
          <t>1Y</t>
        </is>
      </c>
      <c r="G6" t="inlineStr">
        <is>
          <t>Balanced</t>
        </is>
      </c>
      <c r="H6" t="n">
        <v>12</v>
      </c>
      <c r="I6" t="n">
        <v>28</v>
      </c>
      <c r="J6" t="n">
        <v>67</v>
      </c>
      <c r="K6" t="n">
        <v>3</v>
      </c>
      <c r="L6" t="n">
        <v>28</v>
      </c>
      <c r="M6" t="n">
        <v>10</v>
      </c>
      <c r="N6" t="n">
        <v>12</v>
      </c>
      <c r="O6" t="n">
        <v>6</v>
      </c>
      <c r="P6" t="n">
        <v>10</v>
      </c>
      <c r="Q6" t="inlineStr">
        <is>
          <t>No</t>
        </is>
      </c>
      <c r="R6" t="inlineStr">
        <is>
          <t>No</t>
        </is>
      </c>
      <c r="S6" t="n">
        <v>1.5</v>
      </c>
      <c r="T6" t="n">
        <v>25</v>
      </c>
      <c r="U6" t="n">
        <v>52.3</v>
      </c>
      <c r="V6" t="n">
        <v>5230</v>
      </c>
      <c r="W6" t="n">
        <v>45</v>
      </c>
      <c r="X6" t="n">
        <v>27</v>
      </c>
      <c r="Y6" t="n">
        <v>18</v>
      </c>
      <c r="Z6" t="n">
        <v>60</v>
      </c>
      <c r="AB6" t="n">
        <v>-14.5</v>
      </c>
      <c r="AC6" t="n">
        <v>-758.35</v>
      </c>
      <c r="AD6" t="n">
        <v>1.95</v>
      </c>
      <c r="AE6" t="n">
        <v>1.16</v>
      </c>
      <c r="AF6" t="n">
        <v>2.85</v>
      </c>
      <c r="AG6" t="n">
        <v>-1.72</v>
      </c>
      <c r="AH6" t="n">
        <v>7.2</v>
      </c>
      <c r="AI6" t="n">
        <v>-3.5</v>
      </c>
      <c r="AJ6" t="inlineStr">
        <is>
          <t>5h 10m</t>
        </is>
      </c>
      <c r="AK6" t="n">
        <v>28</v>
      </c>
      <c r="AL6" t="n">
        <v>17</v>
      </c>
      <c r="AO6" t="n">
        <v>6.3</v>
      </c>
      <c r="AP6" t="n">
        <v>5</v>
      </c>
      <c r="AQ6" t="inlineStr">
        <is>
          <t>Medium</t>
        </is>
      </c>
      <c r="AR6" t="inlineStr">
        <is>
          <t>SOL shows strong momentum signals</t>
        </is>
      </c>
    </row>
    <row r="7">
      <c r="A7" t="inlineStr">
        <is>
          <t>T006</t>
        </is>
      </c>
      <c r="B7" t="inlineStr">
        <is>
          <t>2026-02-02</t>
        </is>
      </c>
      <c r="C7" t="inlineStr">
        <is>
          <t>ADAUSDT</t>
        </is>
      </c>
      <c r="D7" t="inlineStr">
        <is>
          <t>Layer 1</t>
        </is>
      </c>
      <c r="E7" t="inlineStr">
        <is>
          <t>1d</t>
        </is>
      </c>
      <c r="F7" t="inlineStr">
        <is>
          <t>2Y</t>
        </is>
      </c>
      <c r="G7" t="inlineStr">
        <is>
          <t>Default</t>
        </is>
      </c>
      <c r="H7" t="n">
        <v>14</v>
      </c>
      <c r="I7" t="n">
        <v>30</v>
      </c>
      <c r="J7" t="n">
        <v>65</v>
      </c>
      <c r="K7" t="n">
        <v>2</v>
      </c>
      <c r="L7" t="n">
        <v>30</v>
      </c>
      <c r="M7" t="n">
        <v>10</v>
      </c>
      <c r="N7" t="n">
        <v>14</v>
      </c>
      <c r="O7" t="n">
        <v>6</v>
      </c>
      <c r="P7" t="n">
        <v>10</v>
      </c>
      <c r="Q7" t="inlineStr">
        <is>
          <t>No</t>
        </is>
      </c>
      <c r="R7" t="inlineStr">
        <is>
          <t>No</t>
        </is>
      </c>
      <c r="S7" t="n">
        <v>1.5</v>
      </c>
      <c r="T7" t="n">
        <v>25</v>
      </c>
      <c r="U7" t="n">
        <v>41.2</v>
      </c>
      <c r="V7" t="n">
        <v>4120</v>
      </c>
      <c r="W7" t="n">
        <v>38</v>
      </c>
      <c r="X7" t="n">
        <v>21</v>
      </c>
      <c r="Y7" t="n">
        <v>17</v>
      </c>
      <c r="Z7" t="n">
        <v>55.26</v>
      </c>
      <c r="AB7" t="n">
        <v>-18.5</v>
      </c>
      <c r="AC7" t="n">
        <v>-762.2</v>
      </c>
      <c r="AD7" t="n">
        <v>1.52</v>
      </c>
      <c r="AE7" t="n">
        <v>1.08</v>
      </c>
      <c r="AF7" t="n">
        <v>3.15</v>
      </c>
      <c r="AG7" t="n">
        <v>-2.45</v>
      </c>
      <c r="AH7" t="n">
        <v>7.8</v>
      </c>
      <c r="AI7" t="n">
        <v>-5.2</v>
      </c>
      <c r="AJ7" t="inlineStr">
        <is>
          <t>2d 6h</t>
        </is>
      </c>
      <c r="AK7" t="n">
        <v>22</v>
      </c>
      <c r="AL7" t="n">
        <v>16</v>
      </c>
      <c r="AO7" t="n">
        <v>5.8</v>
      </c>
      <c r="AP7" t="n">
        <v>3</v>
      </c>
      <c r="AQ7" t="inlineStr">
        <is>
          <t>High</t>
        </is>
      </c>
      <c r="AR7" t="inlineStr">
        <is>
          <t>ADA has more false signals on 1d</t>
        </is>
      </c>
    </row>
    <row r="8">
      <c r="A8" t="inlineStr">
        <is>
          <t>T007</t>
        </is>
      </c>
      <c r="B8" t="inlineStr">
        <is>
          <t>2026-02-02</t>
        </is>
      </c>
      <c r="C8" t="inlineStr">
        <is>
          <t>UNIUSDT</t>
        </is>
      </c>
      <c r="D8" t="inlineStr">
        <is>
          <t>DeFi</t>
        </is>
      </c>
      <c r="E8" t="inlineStr">
        <is>
          <t>4h</t>
        </is>
      </c>
      <c r="F8" t="inlineStr">
        <is>
          <t>1Y</t>
        </is>
      </c>
      <c r="G8" t="inlineStr">
        <is>
          <t>Aggressive</t>
        </is>
      </c>
      <c r="H8" t="n">
        <v>10</v>
      </c>
      <c r="I8" t="n">
        <v>30</v>
      </c>
      <c r="J8" t="n">
        <v>65</v>
      </c>
      <c r="K8" t="n">
        <v>2</v>
      </c>
      <c r="L8" t="n">
        <v>30</v>
      </c>
      <c r="M8" t="n">
        <v>10</v>
      </c>
      <c r="N8" t="n">
        <v>14</v>
      </c>
      <c r="O8" t="n">
        <v>4</v>
      </c>
      <c r="P8" t="n">
        <v>8</v>
      </c>
      <c r="Q8" t="inlineStr">
        <is>
          <t>No</t>
        </is>
      </c>
      <c r="R8" t="inlineStr">
        <is>
          <t>No</t>
        </is>
      </c>
      <c r="S8" t="n">
        <v>1.5</v>
      </c>
      <c r="T8" t="n">
        <v>25</v>
      </c>
      <c r="U8" t="n">
        <v>48.5</v>
      </c>
      <c r="V8" t="n">
        <v>4850</v>
      </c>
      <c r="W8" t="n">
        <v>68</v>
      </c>
      <c r="X8" t="n">
        <v>38</v>
      </c>
      <c r="Y8" t="n">
        <v>30</v>
      </c>
      <c r="Z8" t="n">
        <v>55.88</v>
      </c>
      <c r="AB8" t="n">
        <v>-22.3</v>
      </c>
      <c r="AC8" t="n">
        <v>-1081.55</v>
      </c>
      <c r="AD8" t="n">
        <v>1.65</v>
      </c>
      <c r="AE8" t="n">
        <v>0.71</v>
      </c>
      <c r="AF8" t="n">
        <v>2.28</v>
      </c>
      <c r="AG8" t="n">
        <v>-1.85</v>
      </c>
      <c r="AH8" t="n">
        <v>6.8</v>
      </c>
      <c r="AI8" t="n">
        <v>-4.5</v>
      </c>
      <c r="AJ8" t="inlineStr">
        <is>
          <t>3h 20m</t>
        </is>
      </c>
      <c r="AK8" t="n">
        <v>40</v>
      </c>
      <c r="AL8" t="n">
        <v>28</v>
      </c>
      <c r="AO8" t="n">
        <v>4.8</v>
      </c>
      <c r="AP8" t="n">
        <v>3</v>
      </c>
      <c r="AQ8" t="inlineStr">
        <is>
          <t>High</t>
        </is>
      </c>
      <c r="AR8" t="inlineStr">
        <is>
          <t>More trades but higher drawdown</t>
        </is>
      </c>
    </row>
    <row r="9">
      <c r="A9" t="inlineStr">
        <is>
          <t>T008</t>
        </is>
      </c>
      <c r="B9" t="inlineStr">
        <is>
          <t>2026-02-02</t>
        </is>
      </c>
      <c r="C9" t="inlineStr">
        <is>
          <t>LINKUSDT</t>
        </is>
      </c>
      <c r="D9" t="inlineStr">
        <is>
          <t>DeFi</t>
        </is>
      </c>
      <c r="E9" t="inlineStr">
        <is>
          <t>1h</t>
        </is>
      </c>
      <c r="F9" t="inlineStr">
        <is>
          <t>1Y</t>
        </is>
      </c>
      <c r="G9" t="inlineStr">
        <is>
          <t>Default</t>
        </is>
      </c>
      <c r="H9" t="n">
        <v>14</v>
      </c>
      <c r="I9" t="n">
        <v>30</v>
      </c>
      <c r="J9" t="n">
        <v>65</v>
      </c>
      <c r="K9" t="n">
        <v>2</v>
      </c>
      <c r="L9" t="n">
        <v>30</v>
      </c>
      <c r="M9" t="n">
        <v>10</v>
      </c>
      <c r="N9" t="n">
        <v>14</v>
      </c>
      <c r="O9" t="n">
        <v>6</v>
      </c>
      <c r="P9" t="n">
        <v>10</v>
      </c>
      <c r="Q9" t="inlineStr">
        <is>
          <t>No</t>
        </is>
      </c>
      <c r="R9" t="inlineStr">
        <is>
          <t>No</t>
        </is>
      </c>
      <c r="S9" t="n">
        <v>1.5</v>
      </c>
      <c r="T9" t="n">
        <v>25</v>
      </c>
      <c r="U9" t="n">
        <v>35.8</v>
      </c>
      <c r="V9" t="n">
        <v>3580</v>
      </c>
      <c r="W9" t="n">
        <v>58</v>
      </c>
      <c r="X9" t="n">
        <v>32</v>
      </c>
      <c r="Y9" t="n">
        <v>26</v>
      </c>
      <c r="Z9" t="n">
        <v>55.17</v>
      </c>
      <c r="AB9" t="n">
        <v>-16.8</v>
      </c>
      <c r="AC9" t="n">
        <v>-601.4400000000001</v>
      </c>
      <c r="AD9" t="n">
        <v>1.58</v>
      </c>
      <c r="AE9" t="n">
        <v>0.62</v>
      </c>
      <c r="AF9" t="n">
        <v>2.18</v>
      </c>
      <c r="AG9" t="n">
        <v>-1.72</v>
      </c>
      <c r="AH9" t="n">
        <v>5.5</v>
      </c>
      <c r="AI9" t="n">
        <v>-4.2</v>
      </c>
      <c r="AJ9" t="inlineStr">
        <is>
          <t>1h 50m</t>
        </is>
      </c>
      <c r="AK9" t="n">
        <v>34</v>
      </c>
      <c r="AL9" t="n">
        <v>24</v>
      </c>
      <c r="AO9" t="n">
        <v>6.1</v>
      </c>
      <c r="AP9" t="n">
        <v>3</v>
      </c>
      <c r="AQ9" t="inlineStr">
        <is>
          <t>Medium</t>
        </is>
      </c>
      <c r="AR9" t="inlineStr">
        <is>
          <t>LINK decent on 1h</t>
        </is>
      </c>
    </row>
    <row r="10">
      <c r="A10" t="inlineStr">
        <is>
          <t>T009</t>
        </is>
      </c>
      <c r="B10" t="inlineStr">
        <is>
          <t>2026-02-03</t>
        </is>
      </c>
      <c r="C10" t="inlineStr">
        <is>
          <t>MATICUSDT</t>
        </is>
      </c>
      <c r="D10" t="inlineStr">
        <is>
          <t>Layer 2</t>
        </is>
      </c>
      <c r="E10" t="inlineStr">
        <is>
          <t>4h</t>
        </is>
      </c>
      <c r="F10" t="inlineStr">
        <is>
          <t>1Y</t>
        </is>
      </c>
      <c r="G10" t="inlineStr">
        <is>
          <t>Default</t>
        </is>
      </c>
      <c r="H10" t="n">
        <v>14</v>
      </c>
      <c r="I10" t="n">
        <v>30</v>
      </c>
      <c r="J10" t="n">
        <v>65</v>
      </c>
      <c r="K10" t="n">
        <v>2</v>
      </c>
      <c r="L10" t="n">
        <v>30</v>
      </c>
      <c r="M10" t="n">
        <v>10</v>
      </c>
      <c r="N10" t="n">
        <v>14</v>
      </c>
      <c r="O10" t="n">
        <v>6</v>
      </c>
      <c r="P10" t="n">
        <v>10</v>
      </c>
      <c r="Q10" t="inlineStr">
        <is>
          <t>No</t>
        </is>
      </c>
      <c r="R10" t="inlineStr">
        <is>
          <t>No</t>
        </is>
      </c>
      <c r="S10" t="n">
        <v>1.5</v>
      </c>
      <c r="T10" t="n">
        <v>25</v>
      </c>
      <c r="U10" t="n">
        <v>44.2</v>
      </c>
      <c r="V10" t="n">
        <v>4420</v>
      </c>
      <c r="W10" t="n">
        <v>42</v>
      </c>
      <c r="X10" t="n">
        <v>24</v>
      </c>
      <c r="Y10" t="n">
        <v>18</v>
      </c>
      <c r="Z10" t="n">
        <v>57.14</v>
      </c>
      <c r="AB10" t="n">
        <v>-13.2</v>
      </c>
      <c r="AC10" t="n">
        <v>-583.4400000000001</v>
      </c>
      <c r="AD10" t="n">
        <v>1.75</v>
      </c>
      <c r="AE10" t="n">
        <v>1.05</v>
      </c>
      <c r="AF10" t="n">
        <v>2.65</v>
      </c>
      <c r="AG10" t="n">
        <v>-1.82</v>
      </c>
      <c r="AH10" t="n">
        <v>6.5</v>
      </c>
      <c r="AI10" t="n">
        <v>-3.8</v>
      </c>
      <c r="AJ10" t="inlineStr">
        <is>
          <t>4h 40m</t>
        </is>
      </c>
      <c r="AK10" t="n">
        <v>25</v>
      </c>
      <c r="AL10" t="n">
        <v>17</v>
      </c>
      <c r="AO10" t="n">
        <v>6</v>
      </c>
      <c r="AP10" t="n">
        <v>4</v>
      </c>
      <c r="AQ10" t="inlineStr">
        <is>
          <t>Medium</t>
        </is>
      </c>
      <c r="AR10" t="inlineStr">
        <is>
          <t>MATIC Layer 2 performing well</t>
        </is>
      </c>
    </row>
    <row r="11">
      <c r="A11" t="inlineStr">
        <is>
          <t>T010</t>
        </is>
      </c>
      <c r="B11" t="inlineStr">
        <is>
          <t>2026-02-03</t>
        </is>
      </c>
      <c r="C11" t="inlineStr">
        <is>
          <t>DOGEUSDT</t>
        </is>
      </c>
      <c r="D11" t="inlineStr">
        <is>
          <t>Meme Coins</t>
        </is>
      </c>
      <c r="E11" t="inlineStr">
        <is>
          <t>1d</t>
        </is>
      </c>
      <c r="F11" t="inlineStr">
        <is>
          <t>1Y</t>
        </is>
      </c>
      <c r="G11" t="inlineStr">
        <is>
          <t>Conservative</t>
        </is>
      </c>
      <c r="H11" t="n">
        <v>10</v>
      </c>
      <c r="I11" t="n">
        <v>25</v>
      </c>
      <c r="J11" t="n">
        <v>70</v>
      </c>
      <c r="K11" t="n">
        <v>5</v>
      </c>
      <c r="L11" t="n">
        <v>26</v>
      </c>
      <c r="M11" t="n">
        <v>9</v>
      </c>
      <c r="N11" t="n">
        <v>10</v>
      </c>
      <c r="O11" t="n">
        <v>8</v>
      </c>
      <c r="P11" t="n">
        <v>12</v>
      </c>
      <c r="Q11" t="inlineStr">
        <is>
          <t>Yes</t>
        </is>
      </c>
      <c r="R11" t="inlineStr">
        <is>
          <t>Yes</t>
        </is>
      </c>
      <c r="S11" t="n">
        <v>2</v>
      </c>
      <c r="T11" t="n">
        <v>30</v>
      </c>
      <c r="U11" t="n">
        <v>32.5</v>
      </c>
      <c r="V11" t="n">
        <v>3250</v>
      </c>
      <c r="W11" t="n">
        <v>22</v>
      </c>
      <c r="X11" t="n">
        <v>12</v>
      </c>
      <c r="Y11" t="n">
        <v>10</v>
      </c>
      <c r="Z11" t="n">
        <v>54.55</v>
      </c>
      <c r="AB11" t="n">
        <v>-11.5</v>
      </c>
      <c r="AC11" t="n">
        <v>-373.75</v>
      </c>
      <c r="AD11" t="n">
        <v>1.42</v>
      </c>
      <c r="AE11" t="n">
        <v>1.48</v>
      </c>
      <c r="AF11" t="n">
        <v>3.85</v>
      </c>
      <c r="AG11" t="n">
        <v>-3.12</v>
      </c>
      <c r="AH11" t="n">
        <v>8.199999999999999</v>
      </c>
      <c r="AI11" t="n">
        <v>-6.5</v>
      </c>
      <c r="AJ11" t="inlineStr">
        <is>
          <t>3d 2h</t>
        </is>
      </c>
      <c r="AK11" t="n">
        <v>13</v>
      </c>
      <c r="AL11" t="n">
        <v>9</v>
      </c>
      <c r="AO11" t="n">
        <v>7.5</v>
      </c>
      <c r="AP11" t="n">
        <v>3</v>
      </c>
      <c r="AQ11" t="inlineStr">
        <is>
          <t>High</t>
        </is>
      </c>
      <c r="AR11" t="inlineStr">
        <is>
          <t>DOGE volatile, conservative helps</t>
        </is>
      </c>
    </row>
    <row r="12">
      <c r="AA12">
        <f>IF(AND(W12&lt;&gt;"", W12&gt;0), X12/W12*100, "")</f>
        <v/>
      </c>
      <c r="AB12">
        <f>IF(AND(X12&gt;0, Y12&gt;0, AC12&lt;&gt;"", AD12&lt;&gt;""), (X12*AC12)/(Y12*ABS(AD12)), "")</f>
        <v/>
      </c>
      <c r="AL12">
        <f>IF(AJ12&lt;&gt;"", "", "")</f>
        <v/>
      </c>
      <c r="AM12">
        <f>IF(AK12&lt;&gt;"", "", "")</f>
        <v/>
      </c>
    </row>
    <row r="13">
      <c r="AA13">
        <f>IF(AND(W13&lt;&gt;"", W13&gt;0), X13/W13*100, "")</f>
        <v/>
      </c>
      <c r="AB13">
        <f>IF(AND(X13&gt;0, Y13&gt;0, AC13&lt;&gt;"", AD13&lt;&gt;""), (X13*AC13)/(Y13*ABS(AD13)), "")</f>
        <v/>
      </c>
      <c r="AL13">
        <f>IF(AJ13&lt;&gt;"", "", "")</f>
        <v/>
      </c>
      <c r="AM13">
        <f>IF(AK13&lt;&gt;"", "", "")</f>
        <v/>
      </c>
    </row>
    <row r="14">
      <c r="AA14">
        <f>IF(AND(W14&lt;&gt;"", W14&gt;0), X14/W14*100, "")</f>
        <v/>
      </c>
      <c r="AB14">
        <f>IF(AND(X14&gt;0, Y14&gt;0, AC14&lt;&gt;"", AD14&lt;&gt;""), (X14*AC14)/(Y14*ABS(AD14)), "")</f>
        <v/>
      </c>
      <c r="AL14">
        <f>IF(AJ14&lt;&gt;"", "", "")</f>
        <v/>
      </c>
      <c r="AM14">
        <f>IF(AK14&lt;&gt;"", "", "")</f>
        <v/>
      </c>
    </row>
    <row r="15">
      <c r="AA15">
        <f>IF(AND(W15&lt;&gt;"", W15&gt;0), X15/W15*100, "")</f>
        <v/>
      </c>
      <c r="AB15">
        <f>IF(AND(X15&gt;0, Y15&gt;0, AC15&lt;&gt;"", AD15&lt;&gt;""), (X15*AC15)/(Y15*ABS(AD15)), "")</f>
        <v/>
      </c>
      <c r="AL15">
        <f>IF(AJ15&lt;&gt;"", "", "")</f>
        <v/>
      </c>
      <c r="AM15">
        <f>IF(AK15&lt;&gt;"", "", "")</f>
        <v/>
      </c>
    </row>
    <row r="16">
      <c r="AA16">
        <f>IF(AND(W16&lt;&gt;"", W16&gt;0), X16/W16*100, "")</f>
        <v/>
      </c>
      <c r="AB16">
        <f>IF(AND(X16&gt;0, Y16&gt;0, AC16&lt;&gt;"", AD16&lt;&gt;""), (X16*AC16)/(Y16*ABS(AD16)), "")</f>
        <v/>
      </c>
      <c r="AL16">
        <f>IF(AJ16&lt;&gt;"", "", "")</f>
        <v/>
      </c>
      <c r="AM16">
        <f>IF(AK16&lt;&gt;"", "", "")</f>
        <v/>
      </c>
    </row>
    <row r="17">
      <c r="AA17">
        <f>IF(AND(W17&lt;&gt;"", W17&gt;0), X17/W17*100, "")</f>
        <v/>
      </c>
      <c r="AB17">
        <f>IF(AND(X17&gt;0, Y17&gt;0, AC17&lt;&gt;"", AD17&lt;&gt;""), (X17*AC17)/(Y17*ABS(AD17)), "")</f>
        <v/>
      </c>
      <c r="AL17">
        <f>IF(AJ17&lt;&gt;"", "", "")</f>
        <v/>
      </c>
      <c r="AM17">
        <f>IF(AK17&lt;&gt;"", "", "")</f>
        <v/>
      </c>
    </row>
    <row r="18">
      <c r="AA18">
        <f>IF(AND(W18&lt;&gt;"", W18&gt;0), X18/W18*100, "")</f>
        <v/>
      </c>
      <c r="AB18">
        <f>IF(AND(X18&gt;0, Y18&gt;0, AC18&lt;&gt;"", AD18&lt;&gt;""), (X18*AC18)/(Y18*ABS(AD18)), "")</f>
        <v/>
      </c>
      <c r="AL18">
        <f>IF(AJ18&lt;&gt;"", "", "")</f>
        <v/>
      </c>
      <c r="AM18">
        <f>IF(AK18&lt;&gt;"", "", "")</f>
        <v/>
      </c>
    </row>
    <row r="19">
      <c r="AA19">
        <f>IF(AND(W19&lt;&gt;"", W19&gt;0), X19/W19*100, "")</f>
        <v/>
      </c>
      <c r="AB19">
        <f>IF(AND(X19&gt;0, Y19&gt;0, AC19&lt;&gt;"", AD19&lt;&gt;""), (X19*AC19)/(Y19*ABS(AD19)), "")</f>
        <v/>
      </c>
      <c r="AL19">
        <f>IF(AJ19&lt;&gt;"", "", "")</f>
        <v/>
      </c>
      <c r="AM19">
        <f>IF(AK19&lt;&gt;"", "", "")</f>
        <v/>
      </c>
    </row>
    <row r="20">
      <c r="AA20">
        <f>IF(AND(W20&lt;&gt;"", W20&gt;0), X20/W20*100, "")</f>
        <v/>
      </c>
      <c r="AB20">
        <f>IF(AND(X20&gt;0, Y20&gt;0, AC20&lt;&gt;"", AD20&lt;&gt;""), (X20*AC20)/(Y20*ABS(AD20)), "")</f>
        <v/>
      </c>
      <c r="AL20">
        <f>IF(AJ20&lt;&gt;"", "", "")</f>
        <v/>
      </c>
      <c r="AM20">
        <f>IF(AK20&lt;&gt;"", "", "")</f>
        <v/>
      </c>
    </row>
    <row r="21">
      <c r="AA21">
        <f>IF(AND(W21&lt;&gt;"", W21&gt;0), X21/W21*100, "")</f>
        <v/>
      </c>
      <c r="AB21">
        <f>IF(AND(X21&gt;0, Y21&gt;0, AC21&lt;&gt;"", AD21&lt;&gt;""), (X21*AC21)/(Y21*ABS(AD21)), "")</f>
        <v/>
      </c>
      <c r="AL21">
        <f>IF(AJ21&lt;&gt;"", "", "")</f>
        <v/>
      </c>
      <c r="AM21">
        <f>IF(AK21&lt;&gt;"", "", "")</f>
        <v/>
      </c>
    </row>
    <row r="22">
      <c r="AA22">
        <f>IF(AND(W22&lt;&gt;"", W22&gt;0), X22/W22*100, "")</f>
        <v/>
      </c>
      <c r="AB22">
        <f>IF(AND(X22&gt;0, Y22&gt;0, AC22&lt;&gt;"", AD22&lt;&gt;""), (X22*AC22)/(Y22*ABS(AD22)), "")</f>
        <v/>
      </c>
      <c r="AL22">
        <f>IF(AJ22&lt;&gt;"", "", "")</f>
        <v/>
      </c>
      <c r="AM22">
        <f>IF(AK22&lt;&gt;"", "", "")</f>
        <v/>
      </c>
    </row>
    <row r="23">
      <c r="AA23">
        <f>IF(AND(W23&lt;&gt;"", W23&gt;0), X23/W23*100, "")</f>
        <v/>
      </c>
      <c r="AB23">
        <f>IF(AND(X23&gt;0, Y23&gt;0, AC23&lt;&gt;"", AD23&lt;&gt;""), (X23*AC23)/(Y23*ABS(AD23)), "")</f>
        <v/>
      </c>
      <c r="AL23">
        <f>IF(AJ23&lt;&gt;"", "", "")</f>
        <v/>
      </c>
      <c r="AM23">
        <f>IF(AK23&lt;&gt;"", "", "")</f>
        <v/>
      </c>
    </row>
    <row r="24">
      <c r="AA24">
        <f>IF(AND(W24&lt;&gt;"", W24&gt;0), X24/W24*100, "")</f>
        <v/>
      </c>
      <c r="AB24">
        <f>IF(AND(X24&gt;0, Y24&gt;0, AC24&lt;&gt;"", AD24&lt;&gt;""), (X24*AC24)/(Y24*ABS(AD24)), "")</f>
        <v/>
      </c>
      <c r="AL24">
        <f>IF(AJ24&lt;&gt;"", "", "")</f>
        <v/>
      </c>
      <c r="AM24">
        <f>IF(AK24&lt;&gt;"", "", "")</f>
        <v/>
      </c>
    </row>
    <row r="25">
      <c r="AA25">
        <f>IF(AND(W25&lt;&gt;"", W25&gt;0), X25/W25*100, "")</f>
        <v/>
      </c>
      <c r="AB25">
        <f>IF(AND(X25&gt;0, Y25&gt;0, AC25&lt;&gt;"", AD25&lt;&gt;""), (X25*AC25)/(Y25*ABS(AD25)), "")</f>
        <v/>
      </c>
      <c r="AL25">
        <f>IF(AJ25&lt;&gt;"", "", "")</f>
        <v/>
      </c>
      <c r="AM25">
        <f>IF(AK25&lt;&gt;"", "", "")</f>
        <v/>
      </c>
    </row>
    <row r="26">
      <c r="AA26">
        <f>IF(AND(W26&lt;&gt;"", W26&gt;0), X26/W26*100, "")</f>
        <v/>
      </c>
      <c r="AB26">
        <f>IF(AND(X26&gt;0, Y26&gt;0, AC26&lt;&gt;"", AD26&lt;&gt;""), (X26*AC26)/(Y26*ABS(AD26)), "")</f>
        <v/>
      </c>
      <c r="AL26">
        <f>IF(AJ26&lt;&gt;"", "", "")</f>
        <v/>
      </c>
      <c r="AM26">
        <f>IF(AK26&lt;&gt;"", "", "")</f>
        <v/>
      </c>
    </row>
    <row r="27">
      <c r="AA27">
        <f>IF(AND(W27&lt;&gt;"", W27&gt;0), X27/W27*100, "")</f>
        <v/>
      </c>
      <c r="AB27">
        <f>IF(AND(X27&gt;0, Y27&gt;0, AC27&lt;&gt;"", AD27&lt;&gt;""), (X27*AC27)/(Y27*ABS(AD27)), "")</f>
        <v/>
      </c>
      <c r="AL27">
        <f>IF(AJ27&lt;&gt;"", "", "")</f>
        <v/>
      </c>
      <c r="AM27">
        <f>IF(AK27&lt;&gt;"", "", "")</f>
        <v/>
      </c>
    </row>
    <row r="28">
      <c r="AA28">
        <f>IF(AND(W28&lt;&gt;"", W28&gt;0), X28/W28*100, "")</f>
        <v/>
      </c>
      <c r="AB28">
        <f>IF(AND(X28&gt;0, Y28&gt;0, AC28&lt;&gt;"", AD28&lt;&gt;""), (X28*AC28)/(Y28*ABS(AD28)), "")</f>
        <v/>
      </c>
      <c r="AL28">
        <f>IF(AJ28&lt;&gt;"", "", "")</f>
        <v/>
      </c>
      <c r="AM28">
        <f>IF(AK28&lt;&gt;"", "", "")</f>
        <v/>
      </c>
    </row>
    <row r="29">
      <c r="AA29">
        <f>IF(AND(W29&lt;&gt;"", W29&gt;0), X29/W29*100, "")</f>
        <v/>
      </c>
      <c r="AB29">
        <f>IF(AND(X29&gt;0, Y29&gt;0, AC29&lt;&gt;"", AD29&lt;&gt;""), (X29*AC29)/(Y29*ABS(AD29)), "")</f>
        <v/>
      </c>
      <c r="AL29">
        <f>IF(AJ29&lt;&gt;"", "", "")</f>
        <v/>
      </c>
      <c r="AM29">
        <f>IF(AK29&lt;&gt;"", "", "")</f>
        <v/>
      </c>
    </row>
    <row r="30">
      <c r="AA30">
        <f>IF(AND(W30&lt;&gt;"", W30&gt;0), X30/W30*100, "")</f>
        <v/>
      </c>
      <c r="AB30">
        <f>IF(AND(X30&gt;0, Y30&gt;0, AC30&lt;&gt;"", AD30&lt;&gt;""), (X30*AC30)/(Y30*ABS(AD30)), "")</f>
        <v/>
      </c>
      <c r="AL30">
        <f>IF(AJ30&lt;&gt;"", "", "")</f>
        <v/>
      </c>
      <c r="AM30">
        <f>IF(AK30&lt;&gt;"", "", "")</f>
        <v/>
      </c>
    </row>
    <row r="31">
      <c r="AA31">
        <f>IF(AND(W31&lt;&gt;"", W31&gt;0), X31/W31*100, "")</f>
        <v/>
      </c>
      <c r="AB31">
        <f>IF(AND(X31&gt;0, Y31&gt;0, AC31&lt;&gt;"", AD31&lt;&gt;""), (X31*AC31)/(Y31*ABS(AD31)), "")</f>
        <v/>
      </c>
      <c r="AL31">
        <f>IF(AJ31&lt;&gt;"", "", "")</f>
        <v/>
      </c>
      <c r="AM31">
        <f>IF(AK31&lt;&gt;"", "", "")</f>
        <v/>
      </c>
    </row>
    <row r="32">
      <c r="AA32">
        <f>IF(AND(W32&lt;&gt;"", W32&gt;0), X32/W32*100, "")</f>
        <v/>
      </c>
      <c r="AB32">
        <f>IF(AND(X32&gt;0, Y32&gt;0, AC32&lt;&gt;"", AD32&lt;&gt;""), (X32*AC32)/(Y32*ABS(AD32)), "")</f>
        <v/>
      </c>
      <c r="AL32">
        <f>IF(AJ32&lt;&gt;"", "", "")</f>
        <v/>
      </c>
      <c r="AM32">
        <f>IF(AK32&lt;&gt;"", "", "")</f>
        <v/>
      </c>
    </row>
    <row r="33">
      <c r="AA33">
        <f>IF(AND(W33&lt;&gt;"", W33&gt;0), X33/W33*100, "")</f>
        <v/>
      </c>
      <c r="AB33">
        <f>IF(AND(X33&gt;0, Y33&gt;0, AC33&lt;&gt;"", AD33&lt;&gt;""), (X33*AC33)/(Y33*ABS(AD33)), "")</f>
        <v/>
      </c>
      <c r="AL33">
        <f>IF(AJ33&lt;&gt;"", "", "")</f>
        <v/>
      </c>
      <c r="AM33">
        <f>IF(AK33&lt;&gt;"", "", "")</f>
        <v/>
      </c>
    </row>
    <row r="34">
      <c r="AA34">
        <f>IF(AND(W34&lt;&gt;"", W34&gt;0), X34/W34*100, "")</f>
        <v/>
      </c>
      <c r="AB34">
        <f>IF(AND(X34&gt;0, Y34&gt;0, AC34&lt;&gt;"", AD34&lt;&gt;""), (X34*AC34)/(Y34*ABS(AD34)), "")</f>
        <v/>
      </c>
      <c r="AL34">
        <f>IF(AJ34&lt;&gt;"", "", "")</f>
        <v/>
      </c>
      <c r="AM34">
        <f>IF(AK34&lt;&gt;"", "", "")</f>
        <v/>
      </c>
    </row>
    <row r="35">
      <c r="AA35">
        <f>IF(AND(W35&lt;&gt;"", W35&gt;0), X35/W35*100, "")</f>
        <v/>
      </c>
      <c r="AB35">
        <f>IF(AND(X35&gt;0, Y35&gt;0, AC35&lt;&gt;"", AD35&lt;&gt;""), (X35*AC35)/(Y35*ABS(AD35)), "")</f>
        <v/>
      </c>
      <c r="AL35">
        <f>IF(AJ35&lt;&gt;"", "", "")</f>
        <v/>
      </c>
      <c r="AM35">
        <f>IF(AK35&lt;&gt;"", "", "")</f>
        <v/>
      </c>
    </row>
    <row r="36">
      <c r="AA36">
        <f>IF(AND(W36&lt;&gt;"", W36&gt;0), X36/W36*100, "")</f>
        <v/>
      </c>
      <c r="AB36">
        <f>IF(AND(X36&gt;0, Y36&gt;0, AC36&lt;&gt;"", AD36&lt;&gt;""), (X36*AC36)/(Y36*ABS(AD36)), "")</f>
        <v/>
      </c>
      <c r="AL36">
        <f>IF(AJ36&lt;&gt;"", "", "")</f>
        <v/>
      </c>
      <c r="AM36">
        <f>IF(AK36&lt;&gt;"", "", "")</f>
        <v/>
      </c>
    </row>
    <row r="37">
      <c r="AA37">
        <f>IF(AND(W37&lt;&gt;"", W37&gt;0), X37/W37*100, "")</f>
        <v/>
      </c>
      <c r="AB37">
        <f>IF(AND(X37&gt;0, Y37&gt;0, AC37&lt;&gt;"", AD37&lt;&gt;""), (X37*AC37)/(Y37*ABS(AD37)), "")</f>
        <v/>
      </c>
      <c r="AL37">
        <f>IF(AJ37&lt;&gt;"", "", "")</f>
        <v/>
      </c>
      <c r="AM37">
        <f>IF(AK37&lt;&gt;"", "", "")</f>
        <v/>
      </c>
    </row>
    <row r="38">
      <c r="AA38">
        <f>IF(AND(W38&lt;&gt;"", W38&gt;0), X38/W38*100, "")</f>
        <v/>
      </c>
      <c r="AB38">
        <f>IF(AND(X38&gt;0, Y38&gt;0, AC38&lt;&gt;"", AD38&lt;&gt;""), (X38*AC38)/(Y38*ABS(AD38)), "")</f>
        <v/>
      </c>
      <c r="AL38">
        <f>IF(AJ38&lt;&gt;"", "", "")</f>
        <v/>
      </c>
      <c r="AM38">
        <f>IF(AK38&lt;&gt;"", "", "")</f>
        <v/>
      </c>
    </row>
    <row r="39">
      <c r="AA39">
        <f>IF(AND(W39&lt;&gt;"", W39&gt;0), X39/W39*100, "")</f>
        <v/>
      </c>
      <c r="AB39">
        <f>IF(AND(X39&gt;0, Y39&gt;0, AC39&lt;&gt;"", AD39&lt;&gt;""), (X39*AC39)/(Y39*ABS(AD39)), "")</f>
        <v/>
      </c>
      <c r="AL39">
        <f>IF(AJ39&lt;&gt;"", "", "")</f>
        <v/>
      </c>
      <c r="AM39">
        <f>IF(AK39&lt;&gt;"", "", "")</f>
        <v/>
      </c>
    </row>
    <row r="40">
      <c r="AA40">
        <f>IF(AND(W40&lt;&gt;"", W40&gt;0), X40/W40*100, "")</f>
        <v/>
      </c>
      <c r="AB40">
        <f>IF(AND(X40&gt;0, Y40&gt;0, AC40&lt;&gt;"", AD40&lt;&gt;""), (X40*AC40)/(Y40*ABS(AD40)), "")</f>
        <v/>
      </c>
      <c r="AL40">
        <f>IF(AJ40&lt;&gt;"", "", "")</f>
        <v/>
      </c>
      <c r="AM40">
        <f>IF(AK40&lt;&gt;"", "", "")</f>
        <v/>
      </c>
    </row>
    <row r="41">
      <c r="AA41">
        <f>IF(AND(W41&lt;&gt;"", W41&gt;0), X41/W41*100, "")</f>
        <v/>
      </c>
      <c r="AB41">
        <f>IF(AND(X41&gt;0, Y41&gt;0, AC41&lt;&gt;"", AD41&lt;&gt;""), (X41*AC41)/(Y41*ABS(AD41)), "")</f>
        <v/>
      </c>
      <c r="AL41">
        <f>IF(AJ41&lt;&gt;"", "", "")</f>
        <v/>
      </c>
      <c r="AM41">
        <f>IF(AK41&lt;&gt;"", "", "")</f>
        <v/>
      </c>
    </row>
    <row r="42">
      <c r="AA42">
        <f>IF(AND(W42&lt;&gt;"", W42&gt;0), X42/W42*100, "")</f>
        <v/>
      </c>
      <c r="AB42">
        <f>IF(AND(X42&gt;0, Y42&gt;0, AC42&lt;&gt;"", AD42&lt;&gt;""), (X42*AC42)/(Y42*ABS(AD42)), "")</f>
        <v/>
      </c>
      <c r="AL42">
        <f>IF(AJ42&lt;&gt;"", "", "")</f>
        <v/>
      </c>
      <c r="AM42">
        <f>IF(AK42&lt;&gt;"", "", "")</f>
        <v/>
      </c>
    </row>
    <row r="43">
      <c r="AA43">
        <f>IF(AND(W43&lt;&gt;"", W43&gt;0), X43/W43*100, "")</f>
        <v/>
      </c>
      <c r="AB43">
        <f>IF(AND(X43&gt;0, Y43&gt;0, AC43&lt;&gt;"", AD43&lt;&gt;""), (X43*AC43)/(Y43*ABS(AD43)), "")</f>
        <v/>
      </c>
      <c r="AL43">
        <f>IF(AJ43&lt;&gt;"", "", "")</f>
        <v/>
      </c>
      <c r="AM43">
        <f>IF(AK43&lt;&gt;"", "", "")</f>
        <v/>
      </c>
    </row>
    <row r="44">
      <c r="AA44">
        <f>IF(AND(W44&lt;&gt;"", W44&gt;0), X44/W44*100, "")</f>
        <v/>
      </c>
      <c r="AB44">
        <f>IF(AND(X44&gt;0, Y44&gt;0, AC44&lt;&gt;"", AD44&lt;&gt;""), (X44*AC44)/(Y44*ABS(AD44)), "")</f>
        <v/>
      </c>
      <c r="AL44">
        <f>IF(AJ44&lt;&gt;"", "", "")</f>
        <v/>
      </c>
      <c r="AM44">
        <f>IF(AK44&lt;&gt;"", "", "")</f>
        <v/>
      </c>
    </row>
    <row r="45">
      <c r="AA45">
        <f>IF(AND(W45&lt;&gt;"", W45&gt;0), X45/W45*100, "")</f>
        <v/>
      </c>
      <c r="AB45">
        <f>IF(AND(X45&gt;0, Y45&gt;0, AC45&lt;&gt;"", AD45&lt;&gt;""), (X45*AC45)/(Y45*ABS(AD45)), "")</f>
        <v/>
      </c>
      <c r="AL45">
        <f>IF(AJ45&lt;&gt;"", "", "")</f>
        <v/>
      </c>
      <c r="AM45">
        <f>IF(AK45&lt;&gt;"", "", "")</f>
        <v/>
      </c>
    </row>
    <row r="46">
      <c r="AA46">
        <f>IF(AND(W46&lt;&gt;"", W46&gt;0), X46/W46*100, "")</f>
        <v/>
      </c>
      <c r="AB46">
        <f>IF(AND(X46&gt;0, Y46&gt;0, AC46&lt;&gt;"", AD46&lt;&gt;""), (X46*AC46)/(Y46*ABS(AD46)), "")</f>
        <v/>
      </c>
      <c r="AL46">
        <f>IF(AJ46&lt;&gt;"", "", "")</f>
        <v/>
      </c>
      <c r="AM46">
        <f>IF(AK46&lt;&gt;"", "", "")</f>
        <v/>
      </c>
    </row>
    <row r="47">
      <c r="AA47">
        <f>IF(AND(W47&lt;&gt;"", W47&gt;0), X47/W47*100, "")</f>
        <v/>
      </c>
      <c r="AB47">
        <f>IF(AND(X47&gt;0, Y47&gt;0, AC47&lt;&gt;"", AD47&lt;&gt;""), (X47*AC47)/(Y47*ABS(AD47)), "")</f>
        <v/>
      </c>
      <c r="AL47">
        <f>IF(AJ47&lt;&gt;"", "", "")</f>
        <v/>
      </c>
      <c r="AM47">
        <f>IF(AK47&lt;&gt;"", "", "")</f>
        <v/>
      </c>
    </row>
    <row r="48">
      <c r="AA48">
        <f>IF(AND(W48&lt;&gt;"", W48&gt;0), X48/W48*100, "")</f>
        <v/>
      </c>
      <c r="AB48">
        <f>IF(AND(X48&gt;0, Y48&gt;0, AC48&lt;&gt;"", AD48&lt;&gt;""), (X48*AC48)/(Y48*ABS(AD48)), "")</f>
        <v/>
      </c>
      <c r="AL48">
        <f>IF(AJ48&lt;&gt;"", "", "")</f>
        <v/>
      </c>
      <c r="AM48">
        <f>IF(AK48&lt;&gt;"", "", "")</f>
        <v/>
      </c>
    </row>
    <row r="49">
      <c r="AA49">
        <f>IF(AND(W49&lt;&gt;"", W49&gt;0), X49/W49*100, "")</f>
        <v/>
      </c>
      <c r="AB49">
        <f>IF(AND(X49&gt;0, Y49&gt;0, AC49&lt;&gt;"", AD49&lt;&gt;""), (X49*AC49)/(Y49*ABS(AD49)), "")</f>
        <v/>
      </c>
      <c r="AL49">
        <f>IF(AJ49&lt;&gt;"", "", "")</f>
        <v/>
      </c>
      <c r="AM49">
        <f>IF(AK49&lt;&gt;"", "", "")</f>
        <v/>
      </c>
    </row>
    <row r="50">
      <c r="AA50">
        <f>IF(AND(W50&lt;&gt;"", W50&gt;0), X50/W50*100, "")</f>
        <v/>
      </c>
      <c r="AB50">
        <f>IF(AND(X50&gt;0, Y50&gt;0, AC50&lt;&gt;"", AD50&lt;&gt;""), (X50*AC50)/(Y50*ABS(AD50)), "")</f>
        <v/>
      </c>
      <c r="AL50">
        <f>IF(AJ50&lt;&gt;"", "", "")</f>
        <v/>
      </c>
      <c r="AM50">
        <f>IF(AK50&lt;&gt;"", "", "")</f>
        <v/>
      </c>
    </row>
    <row r="51">
      <c r="AA51">
        <f>IF(AND(W51&lt;&gt;"", W51&gt;0), X51/W51*100, "")</f>
        <v/>
      </c>
      <c r="AB51">
        <f>IF(AND(X51&gt;0, Y51&gt;0, AC51&lt;&gt;"", AD51&lt;&gt;""), (X51*AC51)/(Y51*ABS(AD51)), "")</f>
        <v/>
      </c>
      <c r="AL51">
        <f>IF(AJ51&lt;&gt;"", "", "")</f>
        <v/>
      </c>
      <c r="AM51">
        <f>IF(AK51&lt;&gt;"", "", "")</f>
        <v/>
      </c>
    </row>
    <row r="52">
      <c r="AA52">
        <f>IF(AND(W52&lt;&gt;"", W52&gt;0), X52/W52*100, "")</f>
        <v/>
      </c>
      <c r="AB52">
        <f>IF(AND(X52&gt;0, Y52&gt;0, AC52&lt;&gt;"", AD52&lt;&gt;""), (X52*AC52)/(Y52*ABS(AD52)), "")</f>
        <v/>
      </c>
      <c r="AL52">
        <f>IF(AJ52&lt;&gt;"", "", "")</f>
        <v/>
      </c>
      <c r="AM52">
        <f>IF(AK52&lt;&gt;"", "", "")</f>
        <v/>
      </c>
    </row>
    <row r="53">
      <c r="AA53">
        <f>IF(AND(W53&lt;&gt;"", W53&gt;0), X53/W53*100, "")</f>
        <v/>
      </c>
      <c r="AB53">
        <f>IF(AND(X53&gt;0, Y53&gt;0, AC53&lt;&gt;"", AD53&lt;&gt;""), (X53*AC53)/(Y53*ABS(AD53)), "")</f>
        <v/>
      </c>
      <c r="AL53">
        <f>IF(AJ53&lt;&gt;"", "", "")</f>
        <v/>
      </c>
      <c r="AM53">
        <f>IF(AK53&lt;&gt;"", "", "")</f>
        <v/>
      </c>
    </row>
    <row r="54">
      <c r="AA54">
        <f>IF(AND(W54&lt;&gt;"", W54&gt;0), X54/W54*100, "")</f>
        <v/>
      </c>
      <c r="AB54">
        <f>IF(AND(X54&gt;0, Y54&gt;0, AC54&lt;&gt;"", AD54&lt;&gt;""), (X54*AC54)/(Y54*ABS(AD54)), "")</f>
        <v/>
      </c>
      <c r="AL54">
        <f>IF(AJ54&lt;&gt;"", "", "")</f>
        <v/>
      </c>
      <c r="AM54">
        <f>IF(AK54&lt;&gt;"", "", "")</f>
        <v/>
      </c>
    </row>
    <row r="55">
      <c r="AA55">
        <f>IF(AND(W55&lt;&gt;"", W55&gt;0), X55/W55*100, "")</f>
        <v/>
      </c>
      <c r="AB55">
        <f>IF(AND(X55&gt;0, Y55&gt;0, AC55&lt;&gt;"", AD55&lt;&gt;""), (X55*AC55)/(Y55*ABS(AD55)), "")</f>
        <v/>
      </c>
      <c r="AL55">
        <f>IF(AJ55&lt;&gt;"", "", "")</f>
        <v/>
      </c>
      <c r="AM55">
        <f>IF(AK55&lt;&gt;"", "", "")</f>
        <v/>
      </c>
    </row>
    <row r="56">
      <c r="AA56">
        <f>IF(AND(W56&lt;&gt;"", W56&gt;0), X56/W56*100, "")</f>
        <v/>
      </c>
      <c r="AB56">
        <f>IF(AND(X56&gt;0, Y56&gt;0, AC56&lt;&gt;"", AD56&lt;&gt;""), (X56*AC56)/(Y56*ABS(AD56)), "")</f>
        <v/>
      </c>
      <c r="AL56">
        <f>IF(AJ56&lt;&gt;"", "", "")</f>
        <v/>
      </c>
      <c r="AM56">
        <f>IF(AK56&lt;&gt;"", "", "")</f>
        <v/>
      </c>
    </row>
    <row r="57">
      <c r="AA57">
        <f>IF(AND(W57&lt;&gt;"", W57&gt;0), X57/W57*100, "")</f>
        <v/>
      </c>
      <c r="AB57">
        <f>IF(AND(X57&gt;0, Y57&gt;0, AC57&lt;&gt;"", AD57&lt;&gt;""), (X57*AC57)/(Y57*ABS(AD57)), "")</f>
        <v/>
      </c>
      <c r="AL57">
        <f>IF(AJ57&lt;&gt;"", "", "")</f>
        <v/>
      </c>
      <c r="AM57">
        <f>IF(AK57&lt;&gt;"", "", "")</f>
        <v/>
      </c>
    </row>
    <row r="58">
      <c r="AA58">
        <f>IF(AND(W58&lt;&gt;"", W58&gt;0), X58/W58*100, "")</f>
        <v/>
      </c>
      <c r="AB58">
        <f>IF(AND(X58&gt;0, Y58&gt;0, AC58&lt;&gt;"", AD58&lt;&gt;""), (X58*AC58)/(Y58*ABS(AD58)), "")</f>
        <v/>
      </c>
      <c r="AL58">
        <f>IF(AJ58&lt;&gt;"", "", "")</f>
        <v/>
      </c>
      <c r="AM58">
        <f>IF(AK58&lt;&gt;"", "", "")</f>
        <v/>
      </c>
    </row>
    <row r="59">
      <c r="AA59">
        <f>IF(AND(W59&lt;&gt;"", W59&gt;0), X59/W59*100, "")</f>
        <v/>
      </c>
      <c r="AB59">
        <f>IF(AND(X59&gt;0, Y59&gt;0, AC59&lt;&gt;"", AD59&lt;&gt;""), (X59*AC59)/(Y59*ABS(AD59)), "")</f>
        <v/>
      </c>
      <c r="AL59">
        <f>IF(AJ59&lt;&gt;"", "", "")</f>
        <v/>
      </c>
      <c r="AM59">
        <f>IF(AK59&lt;&gt;"", "", "")</f>
        <v/>
      </c>
    </row>
    <row r="60">
      <c r="AA60">
        <f>IF(AND(W60&lt;&gt;"", W60&gt;0), X60/W60*100, "")</f>
        <v/>
      </c>
      <c r="AB60">
        <f>IF(AND(X60&gt;0, Y60&gt;0, AC60&lt;&gt;"", AD60&lt;&gt;""), (X60*AC60)/(Y60*ABS(AD60)), "")</f>
        <v/>
      </c>
      <c r="AL60">
        <f>IF(AJ60&lt;&gt;"", "", "")</f>
        <v/>
      </c>
      <c r="AM60">
        <f>IF(AK60&lt;&gt;"", "", "")</f>
        <v/>
      </c>
    </row>
    <row r="61">
      <c r="AA61">
        <f>IF(AND(W61&lt;&gt;"", W61&gt;0), X61/W61*100, "")</f>
        <v/>
      </c>
      <c r="AB61">
        <f>IF(AND(X61&gt;0, Y61&gt;0, AC61&lt;&gt;"", AD61&lt;&gt;""), (X61*AC61)/(Y61*ABS(AD61)), "")</f>
        <v/>
      </c>
      <c r="AL61">
        <f>IF(AJ61&lt;&gt;"", "", "")</f>
        <v/>
      </c>
      <c r="AM61">
        <f>IF(AK61&lt;&gt;"", "", "")</f>
        <v/>
      </c>
    </row>
    <row r="62">
      <c r="AA62">
        <f>IF(AND(W62&lt;&gt;"", W62&gt;0), X62/W62*100, "")</f>
        <v/>
      </c>
      <c r="AB62">
        <f>IF(AND(X62&gt;0, Y62&gt;0, AC62&lt;&gt;"", AD62&lt;&gt;""), (X62*AC62)/(Y62*ABS(AD62)), "")</f>
        <v/>
      </c>
      <c r="AL62">
        <f>IF(AJ62&lt;&gt;"", "", "")</f>
        <v/>
      </c>
      <c r="AM62">
        <f>IF(AK62&lt;&gt;"", "", "")</f>
        <v/>
      </c>
    </row>
    <row r="63">
      <c r="AA63">
        <f>IF(AND(W63&lt;&gt;"", W63&gt;0), X63/W63*100, "")</f>
        <v/>
      </c>
      <c r="AB63">
        <f>IF(AND(X63&gt;0, Y63&gt;0, AC63&lt;&gt;"", AD63&lt;&gt;""), (X63*AC63)/(Y63*ABS(AD63)), "")</f>
        <v/>
      </c>
      <c r="AL63">
        <f>IF(AJ63&lt;&gt;"", "", "")</f>
        <v/>
      </c>
      <c r="AM63">
        <f>IF(AK63&lt;&gt;"", "", "")</f>
        <v/>
      </c>
    </row>
    <row r="64">
      <c r="AA64">
        <f>IF(AND(W64&lt;&gt;"", W64&gt;0), X64/W64*100, "")</f>
        <v/>
      </c>
      <c r="AB64">
        <f>IF(AND(X64&gt;0, Y64&gt;0, AC64&lt;&gt;"", AD64&lt;&gt;""), (X64*AC64)/(Y64*ABS(AD64)), "")</f>
        <v/>
      </c>
      <c r="AL64">
        <f>IF(AJ64&lt;&gt;"", "", "")</f>
        <v/>
      </c>
      <c r="AM64">
        <f>IF(AK64&lt;&gt;"", "", "")</f>
        <v/>
      </c>
    </row>
    <row r="65">
      <c r="AA65">
        <f>IF(AND(W65&lt;&gt;"", W65&gt;0), X65/W65*100, "")</f>
        <v/>
      </c>
      <c r="AB65">
        <f>IF(AND(X65&gt;0, Y65&gt;0, AC65&lt;&gt;"", AD65&lt;&gt;""), (X65*AC65)/(Y65*ABS(AD65)), "")</f>
        <v/>
      </c>
      <c r="AL65">
        <f>IF(AJ65&lt;&gt;"", "", "")</f>
        <v/>
      </c>
      <c r="AM65">
        <f>IF(AK65&lt;&gt;"", "", "")</f>
        <v/>
      </c>
    </row>
    <row r="66">
      <c r="AA66">
        <f>IF(AND(W66&lt;&gt;"", W66&gt;0), X66/W66*100, "")</f>
        <v/>
      </c>
      <c r="AB66">
        <f>IF(AND(X66&gt;0, Y66&gt;0, AC66&lt;&gt;"", AD66&lt;&gt;""), (X66*AC66)/(Y66*ABS(AD66)), "")</f>
        <v/>
      </c>
      <c r="AL66">
        <f>IF(AJ66&lt;&gt;"", "", "")</f>
        <v/>
      </c>
      <c r="AM66">
        <f>IF(AK66&lt;&gt;"", "", "")</f>
        <v/>
      </c>
    </row>
    <row r="67">
      <c r="AA67">
        <f>IF(AND(W67&lt;&gt;"", W67&gt;0), X67/W67*100, "")</f>
        <v/>
      </c>
      <c r="AB67">
        <f>IF(AND(X67&gt;0, Y67&gt;0, AC67&lt;&gt;"", AD67&lt;&gt;""), (X67*AC67)/(Y67*ABS(AD67)), "")</f>
        <v/>
      </c>
      <c r="AL67">
        <f>IF(AJ67&lt;&gt;"", "", "")</f>
        <v/>
      </c>
      <c r="AM67">
        <f>IF(AK67&lt;&gt;"", "", "")</f>
        <v/>
      </c>
    </row>
    <row r="68">
      <c r="AA68">
        <f>IF(AND(W68&lt;&gt;"", W68&gt;0), X68/W68*100, "")</f>
        <v/>
      </c>
      <c r="AB68">
        <f>IF(AND(X68&gt;0, Y68&gt;0, AC68&lt;&gt;"", AD68&lt;&gt;""), (X68*AC68)/(Y68*ABS(AD68)), "")</f>
        <v/>
      </c>
      <c r="AL68">
        <f>IF(AJ68&lt;&gt;"", "", "")</f>
        <v/>
      </c>
      <c r="AM68">
        <f>IF(AK68&lt;&gt;"", "", "")</f>
        <v/>
      </c>
    </row>
    <row r="69">
      <c r="AA69">
        <f>IF(AND(W69&lt;&gt;"", W69&gt;0), X69/W69*100, "")</f>
        <v/>
      </c>
      <c r="AB69">
        <f>IF(AND(X69&gt;0, Y69&gt;0, AC69&lt;&gt;"", AD69&lt;&gt;""), (X69*AC69)/(Y69*ABS(AD69)), "")</f>
        <v/>
      </c>
      <c r="AL69">
        <f>IF(AJ69&lt;&gt;"", "", "")</f>
        <v/>
      </c>
      <c r="AM69">
        <f>IF(AK69&lt;&gt;"", "", "")</f>
        <v/>
      </c>
    </row>
    <row r="70">
      <c r="AA70">
        <f>IF(AND(W70&lt;&gt;"", W70&gt;0), X70/W70*100, "")</f>
        <v/>
      </c>
      <c r="AB70">
        <f>IF(AND(X70&gt;0, Y70&gt;0, AC70&lt;&gt;"", AD70&lt;&gt;""), (X70*AC70)/(Y70*ABS(AD70)), "")</f>
        <v/>
      </c>
      <c r="AL70">
        <f>IF(AJ70&lt;&gt;"", "", "")</f>
        <v/>
      </c>
      <c r="AM70">
        <f>IF(AK70&lt;&gt;"", "", "")</f>
        <v/>
      </c>
    </row>
    <row r="71">
      <c r="AA71">
        <f>IF(AND(W71&lt;&gt;"", W71&gt;0), X71/W71*100, "")</f>
        <v/>
      </c>
      <c r="AB71">
        <f>IF(AND(X71&gt;0, Y71&gt;0, AC71&lt;&gt;"", AD71&lt;&gt;""), (X71*AC71)/(Y71*ABS(AD71)), "")</f>
        <v/>
      </c>
      <c r="AL71">
        <f>IF(AJ71&lt;&gt;"", "", "")</f>
        <v/>
      </c>
      <c r="AM71">
        <f>IF(AK71&lt;&gt;"", "", "")</f>
        <v/>
      </c>
    </row>
    <row r="72">
      <c r="AA72">
        <f>IF(AND(W72&lt;&gt;"", W72&gt;0), X72/W72*100, "")</f>
        <v/>
      </c>
      <c r="AB72">
        <f>IF(AND(X72&gt;0, Y72&gt;0, AC72&lt;&gt;"", AD72&lt;&gt;""), (X72*AC72)/(Y72*ABS(AD72)), "")</f>
        <v/>
      </c>
      <c r="AL72">
        <f>IF(AJ72&lt;&gt;"", "", "")</f>
        <v/>
      </c>
      <c r="AM72">
        <f>IF(AK72&lt;&gt;"", "", "")</f>
        <v/>
      </c>
    </row>
    <row r="73">
      <c r="AA73">
        <f>IF(AND(W73&lt;&gt;"", W73&gt;0), X73/W73*100, "")</f>
        <v/>
      </c>
      <c r="AB73">
        <f>IF(AND(X73&gt;0, Y73&gt;0, AC73&lt;&gt;"", AD73&lt;&gt;""), (X73*AC73)/(Y73*ABS(AD73)), "")</f>
        <v/>
      </c>
      <c r="AL73">
        <f>IF(AJ73&lt;&gt;"", "", "")</f>
        <v/>
      </c>
      <c r="AM73">
        <f>IF(AK73&lt;&gt;"", "", "")</f>
        <v/>
      </c>
    </row>
    <row r="74">
      <c r="AA74">
        <f>IF(AND(W74&lt;&gt;"", W74&gt;0), X74/W74*100, "")</f>
        <v/>
      </c>
      <c r="AB74">
        <f>IF(AND(X74&gt;0, Y74&gt;0, AC74&lt;&gt;"", AD74&lt;&gt;""), (X74*AC74)/(Y74*ABS(AD74)), "")</f>
        <v/>
      </c>
      <c r="AL74">
        <f>IF(AJ74&lt;&gt;"", "", "")</f>
        <v/>
      </c>
      <c r="AM74">
        <f>IF(AK74&lt;&gt;"", "", "")</f>
        <v/>
      </c>
    </row>
    <row r="75">
      <c r="AA75">
        <f>IF(AND(W75&lt;&gt;"", W75&gt;0), X75/W75*100, "")</f>
        <v/>
      </c>
      <c r="AB75">
        <f>IF(AND(X75&gt;0, Y75&gt;0, AC75&lt;&gt;"", AD75&lt;&gt;""), (X75*AC75)/(Y75*ABS(AD75)), "")</f>
        <v/>
      </c>
      <c r="AL75">
        <f>IF(AJ75&lt;&gt;"", "", "")</f>
        <v/>
      </c>
      <c r="AM75">
        <f>IF(AK75&lt;&gt;"", "", "")</f>
        <v/>
      </c>
    </row>
    <row r="76">
      <c r="AA76">
        <f>IF(AND(W76&lt;&gt;"", W76&gt;0), X76/W76*100, "")</f>
        <v/>
      </c>
      <c r="AB76">
        <f>IF(AND(X76&gt;0, Y76&gt;0, AC76&lt;&gt;"", AD76&lt;&gt;""), (X76*AC76)/(Y76*ABS(AD76)), "")</f>
        <v/>
      </c>
      <c r="AL76">
        <f>IF(AJ76&lt;&gt;"", "", "")</f>
        <v/>
      </c>
      <c r="AM76">
        <f>IF(AK76&lt;&gt;"", "", "")</f>
        <v/>
      </c>
    </row>
    <row r="77">
      <c r="AA77">
        <f>IF(AND(W77&lt;&gt;"", W77&gt;0), X77/W77*100, "")</f>
        <v/>
      </c>
      <c r="AB77">
        <f>IF(AND(X77&gt;0, Y77&gt;0, AC77&lt;&gt;"", AD77&lt;&gt;""), (X77*AC77)/(Y77*ABS(AD77)), "")</f>
        <v/>
      </c>
      <c r="AL77">
        <f>IF(AJ77&lt;&gt;"", "", "")</f>
        <v/>
      </c>
      <c r="AM77">
        <f>IF(AK77&lt;&gt;"", "", "")</f>
        <v/>
      </c>
    </row>
    <row r="78">
      <c r="AA78">
        <f>IF(AND(W78&lt;&gt;"", W78&gt;0), X78/W78*100, "")</f>
        <v/>
      </c>
      <c r="AB78">
        <f>IF(AND(X78&gt;0, Y78&gt;0, AC78&lt;&gt;"", AD78&lt;&gt;""), (X78*AC78)/(Y78*ABS(AD78)), "")</f>
        <v/>
      </c>
      <c r="AL78">
        <f>IF(AJ78&lt;&gt;"", "", "")</f>
        <v/>
      </c>
      <c r="AM78">
        <f>IF(AK78&lt;&gt;"", "", "")</f>
        <v/>
      </c>
    </row>
    <row r="79">
      <c r="AA79">
        <f>IF(AND(W79&lt;&gt;"", W79&gt;0), X79/W79*100, "")</f>
        <v/>
      </c>
      <c r="AB79">
        <f>IF(AND(X79&gt;0, Y79&gt;0, AC79&lt;&gt;"", AD79&lt;&gt;""), (X79*AC79)/(Y79*ABS(AD79)), "")</f>
        <v/>
      </c>
      <c r="AL79">
        <f>IF(AJ79&lt;&gt;"", "", "")</f>
        <v/>
      </c>
      <c r="AM79">
        <f>IF(AK79&lt;&gt;"", "", "")</f>
        <v/>
      </c>
    </row>
    <row r="80">
      <c r="AA80">
        <f>IF(AND(W80&lt;&gt;"", W80&gt;0), X80/W80*100, "")</f>
        <v/>
      </c>
      <c r="AB80">
        <f>IF(AND(X80&gt;0, Y80&gt;0, AC80&lt;&gt;"", AD80&lt;&gt;""), (X80*AC80)/(Y80*ABS(AD80)), "")</f>
        <v/>
      </c>
      <c r="AL80">
        <f>IF(AJ80&lt;&gt;"", "", "")</f>
        <v/>
      </c>
      <c r="AM80">
        <f>IF(AK80&lt;&gt;"", "", "")</f>
        <v/>
      </c>
    </row>
    <row r="81">
      <c r="AA81">
        <f>IF(AND(W81&lt;&gt;"", W81&gt;0), X81/W81*100, "")</f>
        <v/>
      </c>
      <c r="AB81">
        <f>IF(AND(X81&gt;0, Y81&gt;0, AC81&lt;&gt;"", AD81&lt;&gt;""), (X81*AC81)/(Y81*ABS(AD81)), "")</f>
        <v/>
      </c>
      <c r="AL81">
        <f>IF(AJ81&lt;&gt;"", "", "")</f>
        <v/>
      </c>
      <c r="AM81">
        <f>IF(AK81&lt;&gt;"", "", "")</f>
        <v/>
      </c>
    </row>
    <row r="82">
      <c r="AA82">
        <f>IF(AND(W82&lt;&gt;"", W82&gt;0), X82/W82*100, "")</f>
        <v/>
      </c>
      <c r="AB82">
        <f>IF(AND(X82&gt;0, Y82&gt;0, AC82&lt;&gt;"", AD82&lt;&gt;""), (X82*AC82)/(Y82*ABS(AD82)), "")</f>
        <v/>
      </c>
      <c r="AL82">
        <f>IF(AJ82&lt;&gt;"", "", "")</f>
        <v/>
      </c>
      <c r="AM82">
        <f>IF(AK82&lt;&gt;"", "", "")</f>
        <v/>
      </c>
    </row>
    <row r="83">
      <c r="AA83">
        <f>IF(AND(W83&lt;&gt;"", W83&gt;0), X83/W83*100, "")</f>
        <v/>
      </c>
      <c r="AB83">
        <f>IF(AND(X83&gt;0, Y83&gt;0, AC83&lt;&gt;"", AD83&lt;&gt;""), (X83*AC83)/(Y83*ABS(AD83)), "")</f>
        <v/>
      </c>
      <c r="AL83">
        <f>IF(AJ83&lt;&gt;"", "", "")</f>
        <v/>
      </c>
      <c r="AM83">
        <f>IF(AK83&lt;&gt;"", "", "")</f>
        <v/>
      </c>
    </row>
    <row r="84">
      <c r="AA84">
        <f>IF(AND(W84&lt;&gt;"", W84&gt;0), X84/W84*100, "")</f>
        <v/>
      </c>
      <c r="AB84">
        <f>IF(AND(X84&gt;0, Y84&gt;0, AC84&lt;&gt;"", AD84&lt;&gt;""), (X84*AC84)/(Y84*ABS(AD84)), "")</f>
        <v/>
      </c>
      <c r="AL84">
        <f>IF(AJ84&lt;&gt;"", "", "")</f>
        <v/>
      </c>
      <c r="AM84">
        <f>IF(AK84&lt;&gt;"", "", "")</f>
        <v/>
      </c>
    </row>
    <row r="85">
      <c r="AA85">
        <f>IF(AND(W85&lt;&gt;"", W85&gt;0), X85/W85*100, "")</f>
        <v/>
      </c>
      <c r="AB85">
        <f>IF(AND(X85&gt;0, Y85&gt;0, AC85&lt;&gt;"", AD85&lt;&gt;""), (X85*AC85)/(Y85*ABS(AD85)), "")</f>
        <v/>
      </c>
      <c r="AL85">
        <f>IF(AJ85&lt;&gt;"", "", "")</f>
        <v/>
      </c>
      <c r="AM85">
        <f>IF(AK85&lt;&gt;"", "", "")</f>
        <v/>
      </c>
    </row>
    <row r="86">
      <c r="AA86">
        <f>IF(AND(W86&lt;&gt;"", W86&gt;0), X86/W86*100, "")</f>
        <v/>
      </c>
      <c r="AB86">
        <f>IF(AND(X86&gt;0, Y86&gt;0, AC86&lt;&gt;"", AD86&lt;&gt;""), (X86*AC86)/(Y86*ABS(AD86)), "")</f>
        <v/>
      </c>
      <c r="AL86">
        <f>IF(AJ86&lt;&gt;"", "", "")</f>
        <v/>
      </c>
      <c r="AM86">
        <f>IF(AK86&lt;&gt;"", "", "")</f>
        <v/>
      </c>
    </row>
    <row r="87">
      <c r="AA87">
        <f>IF(AND(W87&lt;&gt;"", W87&gt;0), X87/W87*100, "")</f>
        <v/>
      </c>
      <c r="AB87">
        <f>IF(AND(X87&gt;0, Y87&gt;0, AC87&lt;&gt;"", AD87&lt;&gt;""), (X87*AC87)/(Y87*ABS(AD87)), "")</f>
        <v/>
      </c>
      <c r="AL87">
        <f>IF(AJ87&lt;&gt;"", "", "")</f>
        <v/>
      </c>
      <c r="AM87">
        <f>IF(AK87&lt;&gt;"", "", "")</f>
        <v/>
      </c>
    </row>
    <row r="88">
      <c r="AA88">
        <f>IF(AND(W88&lt;&gt;"", W88&gt;0), X88/W88*100, "")</f>
        <v/>
      </c>
      <c r="AB88">
        <f>IF(AND(X88&gt;0, Y88&gt;0, AC88&lt;&gt;"", AD88&lt;&gt;""), (X88*AC88)/(Y88*ABS(AD88)), "")</f>
        <v/>
      </c>
      <c r="AL88">
        <f>IF(AJ88&lt;&gt;"", "", "")</f>
        <v/>
      </c>
      <c r="AM88">
        <f>IF(AK88&lt;&gt;"", "", "")</f>
        <v/>
      </c>
    </row>
    <row r="89">
      <c r="AA89">
        <f>IF(AND(W89&lt;&gt;"", W89&gt;0), X89/W89*100, "")</f>
        <v/>
      </c>
      <c r="AB89">
        <f>IF(AND(X89&gt;0, Y89&gt;0, AC89&lt;&gt;"", AD89&lt;&gt;""), (X89*AC89)/(Y89*ABS(AD89)), "")</f>
        <v/>
      </c>
      <c r="AL89">
        <f>IF(AJ89&lt;&gt;"", "", "")</f>
        <v/>
      </c>
      <c r="AM89">
        <f>IF(AK89&lt;&gt;"", "", "")</f>
        <v/>
      </c>
    </row>
    <row r="90">
      <c r="AA90">
        <f>IF(AND(W90&lt;&gt;"", W90&gt;0), X90/W90*100, "")</f>
        <v/>
      </c>
      <c r="AB90">
        <f>IF(AND(X90&gt;0, Y90&gt;0, AC90&lt;&gt;"", AD90&lt;&gt;""), (X90*AC90)/(Y90*ABS(AD90)), "")</f>
        <v/>
      </c>
      <c r="AL90">
        <f>IF(AJ90&lt;&gt;"", "", "")</f>
        <v/>
      </c>
      <c r="AM90">
        <f>IF(AK90&lt;&gt;"", "", "")</f>
        <v/>
      </c>
    </row>
    <row r="91">
      <c r="AA91">
        <f>IF(AND(W91&lt;&gt;"", W91&gt;0), X91/W91*100, "")</f>
        <v/>
      </c>
      <c r="AB91">
        <f>IF(AND(X91&gt;0, Y91&gt;0, AC91&lt;&gt;"", AD91&lt;&gt;""), (X91*AC91)/(Y91*ABS(AD91)), "")</f>
        <v/>
      </c>
      <c r="AL91">
        <f>IF(AJ91&lt;&gt;"", "", "")</f>
        <v/>
      </c>
      <c r="AM91">
        <f>IF(AK91&lt;&gt;"", "", "")</f>
        <v/>
      </c>
    </row>
    <row r="92">
      <c r="AA92">
        <f>IF(AND(W92&lt;&gt;"", W92&gt;0), X92/W92*100, "")</f>
        <v/>
      </c>
      <c r="AB92">
        <f>IF(AND(X92&gt;0, Y92&gt;0, AC92&lt;&gt;"", AD92&lt;&gt;""), (X92*AC92)/(Y92*ABS(AD92)), "")</f>
        <v/>
      </c>
      <c r="AL92">
        <f>IF(AJ92&lt;&gt;"", "", "")</f>
        <v/>
      </c>
      <c r="AM92">
        <f>IF(AK92&lt;&gt;"", "", "")</f>
        <v/>
      </c>
    </row>
    <row r="93">
      <c r="AA93">
        <f>IF(AND(W93&lt;&gt;"", W93&gt;0), X93/W93*100, "")</f>
        <v/>
      </c>
      <c r="AB93">
        <f>IF(AND(X93&gt;0, Y93&gt;0, AC93&lt;&gt;"", AD93&lt;&gt;""), (X93*AC93)/(Y93*ABS(AD93)), "")</f>
        <v/>
      </c>
      <c r="AL93">
        <f>IF(AJ93&lt;&gt;"", "", "")</f>
        <v/>
      </c>
      <c r="AM93">
        <f>IF(AK93&lt;&gt;"", "", "")</f>
        <v/>
      </c>
    </row>
    <row r="94">
      <c r="AA94">
        <f>IF(AND(W94&lt;&gt;"", W94&gt;0), X94/W94*100, "")</f>
        <v/>
      </c>
      <c r="AB94">
        <f>IF(AND(X94&gt;0, Y94&gt;0, AC94&lt;&gt;"", AD94&lt;&gt;""), (X94*AC94)/(Y94*ABS(AD94)), "")</f>
        <v/>
      </c>
      <c r="AL94">
        <f>IF(AJ94&lt;&gt;"", "", "")</f>
        <v/>
      </c>
      <c r="AM94">
        <f>IF(AK94&lt;&gt;"", "", "")</f>
        <v/>
      </c>
    </row>
    <row r="95">
      <c r="AA95">
        <f>IF(AND(W95&lt;&gt;"", W95&gt;0), X95/W95*100, "")</f>
        <v/>
      </c>
      <c r="AB95">
        <f>IF(AND(X95&gt;0, Y95&gt;0, AC95&lt;&gt;"", AD95&lt;&gt;""), (X95*AC95)/(Y95*ABS(AD95)), "")</f>
        <v/>
      </c>
      <c r="AL95">
        <f>IF(AJ95&lt;&gt;"", "", "")</f>
        <v/>
      </c>
      <c r="AM95">
        <f>IF(AK95&lt;&gt;"", "", "")</f>
        <v/>
      </c>
    </row>
    <row r="96">
      <c r="AA96">
        <f>IF(AND(W96&lt;&gt;"", W96&gt;0), X96/W96*100, "")</f>
        <v/>
      </c>
      <c r="AB96">
        <f>IF(AND(X96&gt;0, Y96&gt;0, AC96&lt;&gt;"", AD96&lt;&gt;""), (X96*AC96)/(Y96*ABS(AD96)), "")</f>
        <v/>
      </c>
      <c r="AL96">
        <f>IF(AJ96&lt;&gt;"", "", "")</f>
        <v/>
      </c>
      <c r="AM96">
        <f>IF(AK96&lt;&gt;"", "", "")</f>
        <v/>
      </c>
    </row>
    <row r="97">
      <c r="AA97">
        <f>IF(AND(W97&lt;&gt;"", W97&gt;0), X97/W97*100, "")</f>
        <v/>
      </c>
      <c r="AB97">
        <f>IF(AND(X97&gt;0, Y97&gt;0, AC97&lt;&gt;"", AD97&lt;&gt;""), (X97*AC97)/(Y97*ABS(AD97)), "")</f>
        <v/>
      </c>
      <c r="AL97">
        <f>IF(AJ97&lt;&gt;"", "", "")</f>
        <v/>
      </c>
      <c r="AM97">
        <f>IF(AK97&lt;&gt;"", "", "")</f>
        <v/>
      </c>
    </row>
    <row r="98">
      <c r="AA98">
        <f>IF(AND(W98&lt;&gt;"", W98&gt;0), X98/W98*100, "")</f>
        <v/>
      </c>
      <c r="AB98">
        <f>IF(AND(X98&gt;0, Y98&gt;0, AC98&lt;&gt;"", AD98&lt;&gt;""), (X98*AC98)/(Y98*ABS(AD98)), "")</f>
        <v/>
      </c>
      <c r="AL98">
        <f>IF(AJ98&lt;&gt;"", "", "")</f>
        <v/>
      </c>
      <c r="AM98">
        <f>IF(AK98&lt;&gt;"", "", "")</f>
        <v/>
      </c>
    </row>
    <row r="99">
      <c r="AA99">
        <f>IF(AND(W99&lt;&gt;"", W99&gt;0), X99/W99*100, "")</f>
        <v/>
      </c>
      <c r="AB99">
        <f>IF(AND(X99&gt;0, Y99&gt;0, AC99&lt;&gt;"", AD99&lt;&gt;""), (X99*AC99)/(Y99*ABS(AD99)), "")</f>
        <v/>
      </c>
      <c r="AL99">
        <f>IF(AJ99&lt;&gt;"", "", "")</f>
        <v/>
      </c>
      <c r="AM99">
        <f>IF(AK99&lt;&gt;"", "", "")</f>
        <v/>
      </c>
    </row>
    <row r="100">
      <c r="AA100">
        <f>IF(AND(W100&lt;&gt;"", W100&gt;0), X100/W100*100, "")</f>
        <v/>
      </c>
      <c r="AB100">
        <f>IF(AND(X100&gt;0, Y100&gt;0, AC100&lt;&gt;"", AD100&lt;&gt;""), (X100*AC100)/(Y100*ABS(AD100)), "")</f>
        <v/>
      </c>
      <c r="AL100">
        <f>IF(AJ100&lt;&gt;"", "", "")</f>
        <v/>
      </c>
      <c r="AM100">
        <f>IF(AK100&lt;&gt;"", "", "")</f>
        <v/>
      </c>
    </row>
    <row r="101">
      <c r="AA101">
        <f>IF(AND(W101&lt;&gt;"", W101&gt;0), X101/W101*100, "")</f>
        <v/>
      </c>
      <c r="AB101">
        <f>IF(AND(X101&gt;0, Y101&gt;0, AC101&lt;&gt;"", AD101&lt;&gt;""), (X101*AC101)/(Y101*ABS(AD101)), "")</f>
        <v/>
      </c>
      <c r="AL101">
        <f>IF(AJ101&lt;&gt;"", "", "")</f>
        <v/>
      </c>
      <c r="AM101">
        <f>IF(AK101&lt;&gt;"", "", "")</f>
        <v/>
      </c>
    </row>
  </sheetData>
  <conditionalFormatting sqref="AA2:AA10000">
    <cfRule type="cellIs" priority="1" operator="greaterThan" dxfId="0">
      <formula>60</formula>
    </cfRule>
    <cfRule type="cellIs" priority="2" operator="between" dxfId="1">
      <formula>50</formula>
      <formula>60</formula>
    </cfRule>
    <cfRule type="cellIs" priority="3" operator="lessThan" dxfId="2">
      <formula>50</formula>
    </cfRule>
  </conditionalFormatting>
  <conditionalFormatting sqref="AB2:AB10000">
    <cfRule type="cellIs" priority="4" operator="greaterThan" dxfId="0">
      <formula>2</formula>
    </cfRule>
    <cfRule type="cellIs" priority="5" operator="between" dxfId="1">
      <formula>1.5</formula>
      <formula>2</formula>
    </cfRule>
    <cfRule type="cellIs" priority="6" operator="lessThan" dxfId="2">
      <formula>1.5</formula>
    </cfRule>
  </conditionalFormatting>
  <conditionalFormatting sqref="Z2:Z10000">
    <cfRule type="cellIs" priority="7" operator="greaterThan" dxfId="0">
      <formula>-10</formula>
    </cfRule>
    <cfRule type="cellIs" priority="8" operator="between" dxfId="1">
      <formula>-20</formula>
      <formula>-10</formula>
    </cfRule>
    <cfRule type="cellIs" priority="9" operator="lessThan" dxfId="2">
      <formula>-20</formula>
    </cfRule>
  </conditionalFormatting>
  <dataValidations count="8">
    <dataValidation sqref="D2:D10000" showDropDown="0" showInputMessage="0" showErrorMessage="0" allowBlank="1" type="list">
      <formula1>"Large Cap,DeFi,Layer 1,Layer 2,Meme Coins,Gaming/Metaverse,Exchange Tokens"</formula1>
    </dataValidation>
    <dataValidation sqref="E2:E10000" showDropDown="0" showInputMessage="0" showErrorMessage="0" allowBlank="1" type="list">
      <formula1>"1m,5m,15m,30m,1h,4h,1d,1w"</formula1>
    </dataValidation>
    <dataValidation sqref="F2:F10000" showDropDown="0" showInputMessage="0" showErrorMessage="0" allowBlank="1" type="list">
      <formula1>"6M,1Y,2Y,3Y"</formula1>
    </dataValidation>
    <dataValidation sqref="G2:G10000" showDropDown="0" showInputMessage="0" showErrorMessage="0" allowBlank="1" type="list">
      <formula1>"Default,Conservative,Balanced,Aggressive,Custom"</formula1>
    </dataValidation>
    <dataValidation sqref="AN2:AN10000" showDropDown="0" showInputMessage="0" showErrorMessage="0" allowBlank="1" type="list">
      <formula1>"1,2,3,4,5"</formula1>
    </dataValidation>
    <dataValidation sqref="AO2:AO10000" showDropDown="0" showInputMessage="0" showErrorMessage="0" allowBlank="1" type="list">
      <formula1>"Low,Medium,High"</formula1>
    </dataValidation>
    <dataValidation sqref="Q2:Q10000" showDropDown="0" showInputMessage="0" showErrorMessage="0" allowBlank="1" type="list">
      <formula1>"Yes,No"</formula1>
    </dataValidation>
    <dataValidation sqref="R2:R10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18" customWidth="1" min="4" max="4"/>
    <col width="16" customWidth="1" min="5" max="5"/>
    <col width="14" customWidth="1" min="6" max="6"/>
    <col width="30" customWidth="1" min="7" max="7"/>
  </cols>
  <sheetData>
    <row r="1">
      <c r="A1" s="2" t="inlineStr">
        <is>
          <t>Category</t>
        </is>
      </c>
      <c r="B1" s="2" t="inlineStr">
        <is>
          <t>Avg Win Rate (%)</t>
        </is>
      </c>
      <c r="C1" s="2" t="inlineStr">
        <is>
          <t>Avg Profit Factor</t>
        </is>
      </c>
      <c r="D1" s="2" t="inlineStr">
        <is>
          <t>Avg Net Profit (%)</t>
        </is>
      </c>
      <c r="E1" s="2" t="inlineStr">
        <is>
          <t>Best Timeframe</t>
        </is>
      </c>
      <c r="F1" s="2" t="inlineStr">
        <is>
          <t>Count of Tests</t>
        </is>
      </c>
      <c r="G1" s="2" t="inlineStr">
        <is>
          <t>Top 3 Pairs</t>
        </is>
      </c>
    </row>
    <row r="2">
      <c r="A2" t="inlineStr">
        <is>
          <t>Large Cap</t>
        </is>
      </c>
      <c r="B2">
        <f>AVERAGEIF('Raw Data'!$D:$D, A2, 'Raw Data'!$AA:$AA)</f>
        <v/>
      </c>
      <c r="C2">
        <f>AVERAGEIF('Raw Data'!$D:$D, A2, 'Raw Data'!$AB:$AB)</f>
        <v/>
      </c>
      <c r="D2">
        <f>AVERAGEIF('Raw Data'!$D:$D, A2, 'Raw Data'!$U:$U)</f>
        <v/>
      </c>
      <c r="F2">
        <f>COUNTIF('Raw Data'!$D:$D, A2)</f>
        <v/>
      </c>
    </row>
    <row r="3">
      <c r="A3" t="inlineStr">
        <is>
          <t>DeFi</t>
        </is>
      </c>
      <c r="B3">
        <f>AVERAGEIF('Raw Data'!$D:$D, A3, 'Raw Data'!$AA:$AA)</f>
        <v/>
      </c>
      <c r="C3">
        <f>AVERAGEIF('Raw Data'!$D:$D, A3, 'Raw Data'!$AB:$AB)</f>
        <v/>
      </c>
      <c r="D3">
        <f>AVERAGEIF('Raw Data'!$D:$D, A3, 'Raw Data'!$U:$U)</f>
        <v/>
      </c>
      <c r="F3">
        <f>COUNTIF('Raw Data'!$D:$D, A3)</f>
        <v/>
      </c>
    </row>
    <row r="4">
      <c r="A4" t="inlineStr">
        <is>
          <t>Layer 1</t>
        </is>
      </c>
      <c r="B4">
        <f>AVERAGEIF('Raw Data'!$D:$D, A4, 'Raw Data'!$AA:$AA)</f>
        <v/>
      </c>
      <c r="C4">
        <f>AVERAGEIF('Raw Data'!$D:$D, A4, 'Raw Data'!$AB:$AB)</f>
        <v/>
      </c>
      <c r="D4">
        <f>AVERAGEIF('Raw Data'!$D:$D, A4, 'Raw Data'!$U:$U)</f>
        <v/>
      </c>
      <c r="F4">
        <f>COUNTIF('Raw Data'!$D:$D, A4)</f>
        <v/>
      </c>
    </row>
    <row r="5">
      <c r="A5" t="inlineStr">
        <is>
          <t>Layer 2</t>
        </is>
      </c>
      <c r="B5">
        <f>AVERAGEIF('Raw Data'!$D:$D, A5, 'Raw Data'!$AA:$AA)</f>
        <v/>
      </c>
      <c r="C5">
        <f>AVERAGEIF('Raw Data'!$D:$D, A5, 'Raw Data'!$AB:$AB)</f>
        <v/>
      </c>
      <c r="D5">
        <f>AVERAGEIF('Raw Data'!$D:$D, A5, 'Raw Data'!$U:$U)</f>
        <v/>
      </c>
      <c r="F5">
        <f>COUNTIF('Raw Data'!$D:$D, A5)</f>
        <v/>
      </c>
    </row>
    <row r="6">
      <c r="A6" t="inlineStr">
        <is>
          <t>Meme Coins</t>
        </is>
      </c>
      <c r="B6">
        <f>AVERAGEIF('Raw Data'!$D:$D, A6, 'Raw Data'!$AA:$AA)</f>
        <v/>
      </c>
      <c r="C6">
        <f>AVERAGEIF('Raw Data'!$D:$D, A6, 'Raw Data'!$AB:$AB)</f>
        <v/>
      </c>
      <c r="D6">
        <f>AVERAGEIF('Raw Data'!$D:$D, A6, 'Raw Data'!$U:$U)</f>
        <v/>
      </c>
      <c r="F6">
        <f>COUNTIF('Raw Data'!$D:$D, A6)</f>
        <v/>
      </c>
    </row>
    <row r="7">
      <c r="A7" t="inlineStr">
        <is>
          <t>Gaming/Metaverse</t>
        </is>
      </c>
      <c r="B7">
        <f>AVERAGEIF('Raw Data'!$D:$D, A7, 'Raw Data'!$AA:$AA)</f>
        <v/>
      </c>
      <c r="C7">
        <f>AVERAGEIF('Raw Data'!$D:$D, A7, 'Raw Data'!$AB:$AB)</f>
        <v/>
      </c>
      <c r="D7">
        <f>AVERAGEIF('Raw Data'!$D:$D, A7, 'Raw Data'!$U:$U)</f>
        <v/>
      </c>
      <c r="F7">
        <f>COUNTIF('Raw Data'!$D:$D, A7)</f>
        <v/>
      </c>
    </row>
    <row r="8">
      <c r="A8" t="inlineStr">
        <is>
          <t>Exchange Tokens</t>
        </is>
      </c>
      <c r="B8">
        <f>AVERAGEIF('Raw Data'!$D:$D, A8, 'Raw Data'!$AA:$AA)</f>
        <v/>
      </c>
      <c r="C8">
        <f>AVERAGEIF('Raw Data'!$D:$D, A8, 'Raw Data'!$AB:$AB)</f>
        <v/>
      </c>
      <c r="D8">
        <f>AVERAGEIF('Raw Data'!$D:$D, A8, 'Raw Data'!$U:$U)</f>
        <v/>
      </c>
      <c r="F8">
        <f>COUNTIF('Raw Data'!$D:$D, A8)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3" t="inlineStr">
        <is>
          <t>Timeframe</t>
        </is>
      </c>
      <c r="B1" s="3" t="inlineStr">
        <is>
          <t>Avg Win Rate (%)</t>
        </is>
      </c>
      <c r="C1" s="3" t="inlineStr">
        <is>
          <t>Avg Profit Factor</t>
        </is>
      </c>
      <c r="D1" s="3" t="inlineStr">
        <is>
          <t>Avg Net Profit (%)</t>
        </is>
      </c>
      <c r="E1" s="3" t="inlineStr">
        <is>
          <t>Best Category</t>
        </is>
      </c>
      <c r="F1" s="3" t="inlineStr">
        <is>
          <t>Count of Tests</t>
        </is>
      </c>
      <c r="G1" s="3" t="inlineStr">
        <is>
          <t>Avg Trade Duration</t>
        </is>
      </c>
    </row>
    <row r="2">
      <c r="A2" t="inlineStr">
        <is>
          <t>1m</t>
        </is>
      </c>
      <c r="B2">
        <f>AVERAGEIF('Raw Data'!$E:$E, A2, 'Raw Data'!$AA:$AA)</f>
        <v/>
      </c>
      <c r="C2">
        <f>AVERAGEIF('Raw Data'!$E:$E, A2, 'Raw Data'!$AB:$AB)</f>
        <v/>
      </c>
      <c r="D2">
        <f>AVERAGEIF('Raw Data'!$E:$E, A2, 'Raw Data'!$U:$U)</f>
        <v/>
      </c>
      <c r="F2">
        <f>COUNTIF('Raw Data'!$E:$E, A2)</f>
        <v/>
      </c>
    </row>
    <row r="3">
      <c r="A3" t="inlineStr">
        <is>
          <t>5m</t>
        </is>
      </c>
      <c r="B3">
        <f>AVERAGEIF('Raw Data'!$E:$E, A3, 'Raw Data'!$AA:$AA)</f>
        <v/>
      </c>
      <c r="C3">
        <f>AVERAGEIF('Raw Data'!$E:$E, A3, 'Raw Data'!$AB:$AB)</f>
        <v/>
      </c>
      <c r="D3">
        <f>AVERAGEIF('Raw Data'!$E:$E, A3, 'Raw Data'!$U:$U)</f>
        <v/>
      </c>
      <c r="F3">
        <f>COUNTIF('Raw Data'!$E:$E, A3)</f>
        <v/>
      </c>
    </row>
    <row r="4">
      <c r="A4" t="inlineStr">
        <is>
          <t>15m</t>
        </is>
      </c>
      <c r="B4">
        <f>AVERAGEIF('Raw Data'!$E:$E, A4, 'Raw Data'!$AA:$AA)</f>
        <v/>
      </c>
      <c r="C4">
        <f>AVERAGEIF('Raw Data'!$E:$E, A4, 'Raw Data'!$AB:$AB)</f>
        <v/>
      </c>
      <c r="D4">
        <f>AVERAGEIF('Raw Data'!$E:$E, A4, 'Raw Data'!$U:$U)</f>
        <v/>
      </c>
      <c r="F4">
        <f>COUNTIF('Raw Data'!$E:$E, A4)</f>
        <v/>
      </c>
    </row>
    <row r="5">
      <c r="A5" t="inlineStr">
        <is>
          <t>30m</t>
        </is>
      </c>
      <c r="B5">
        <f>AVERAGEIF('Raw Data'!$E:$E, A5, 'Raw Data'!$AA:$AA)</f>
        <v/>
      </c>
      <c r="C5">
        <f>AVERAGEIF('Raw Data'!$E:$E, A5, 'Raw Data'!$AB:$AB)</f>
        <v/>
      </c>
      <c r="D5">
        <f>AVERAGEIF('Raw Data'!$E:$E, A5, 'Raw Data'!$U:$U)</f>
        <v/>
      </c>
      <c r="F5">
        <f>COUNTIF('Raw Data'!$E:$E, A5)</f>
        <v/>
      </c>
    </row>
    <row r="6">
      <c r="A6" t="inlineStr">
        <is>
          <t>1h</t>
        </is>
      </c>
      <c r="B6">
        <f>AVERAGEIF('Raw Data'!$E:$E, A6, 'Raw Data'!$AA:$AA)</f>
        <v/>
      </c>
      <c r="C6">
        <f>AVERAGEIF('Raw Data'!$E:$E, A6, 'Raw Data'!$AB:$AB)</f>
        <v/>
      </c>
      <c r="D6">
        <f>AVERAGEIF('Raw Data'!$E:$E, A6, 'Raw Data'!$U:$U)</f>
        <v/>
      </c>
      <c r="F6">
        <f>COUNTIF('Raw Data'!$E:$E, A6)</f>
        <v/>
      </c>
    </row>
    <row r="7">
      <c r="A7" t="inlineStr">
        <is>
          <t>4h</t>
        </is>
      </c>
      <c r="B7">
        <f>AVERAGEIF('Raw Data'!$E:$E, A7, 'Raw Data'!$AA:$AA)</f>
        <v/>
      </c>
      <c r="C7">
        <f>AVERAGEIF('Raw Data'!$E:$E, A7, 'Raw Data'!$AB:$AB)</f>
        <v/>
      </c>
      <c r="D7">
        <f>AVERAGEIF('Raw Data'!$E:$E, A7, 'Raw Data'!$U:$U)</f>
        <v/>
      </c>
      <c r="F7">
        <f>COUNTIF('Raw Data'!$E:$E, A7)</f>
        <v/>
      </c>
    </row>
    <row r="8">
      <c r="A8" t="inlineStr">
        <is>
          <t>1d</t>
        </is>
      </c>
      <c r="B8">
        <f>AVERAGEIF('Raw Data'!$E:$E, A8, 'Raw Data'!$AA:$AA)</f>
        <v/>
      </c>
      <c r="C8">
        <f>AVERAGEIF('Raw Data'!$E:$E, A8, 'Raw Data'!$AB:$AB)</f>
        <v/>
      </c>
      <c r="D8">
        <f>AVERAGEIF('Raw Data'!$E:$E, A8, 'Raw Data'!$U:$U)</f>
        <v/>
      </c>
      <c r="F8">
        <f>COUNTIF('Raw Data'!$E:$E, A8)</f>
        <v/>
      </c>
    </row>
    <row r="9">
      <c r="A9" t="inlineStr">
        <is>
          <t>1w</t>
        </is>
      </c>
      <c r="B9">
        <f>AVERAGEIF('Raw Data'!$E:$E, A9, 'Raw Data'!$AA:$AA)</f>
        <v/>
      </c>
      <c r="C9">
        <f>AVERAGEIF('Raw Data'!$E:$E, A9, 'Raw Data'!$AB:$AB)</f>
        <v/>
      </c>
      <c r="D9">
        <f>AVERAGEIF('Raw Data'!$E:$E, A9, 'Raw Data'!$U:$U)</f>
        <v/>
      </c>
      <c r="F9">
        <f>COUNTIF('Raw Data'!$E:$E, A9)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4" t="inlineStr">
        <is>
          <t>Symbol</t>
        </is>
      </c>
      <c r="B1" s="4" t="inlineStr">
        <is>
          <t>Best Win Rate (%)</t>
        </is>
      </c>
      <c r="C1" s="4" t="inlineStr">
        <is>
          <t>Best Profit Factor</t>
        </is>
      </c>
      <c r="D1" s="4" t="inlineStr">
        <is>
          <t>Best Timeframe</t>
        </is>
      </c>
      <c r="E1" s="4" t="inlineStr">
        <is>
          <t>Best Preset</t>
        </is>
      </c>
      <c r="F1" s="4" t="inlineStr">
        <is>
          <t>Count of Tests</t>
        </is>
      </c>
      <c r="G1" s="4" t="inlineStr">
        <is>
          <t>Avg Performance</t>
        </is>
      </c>
    </row>
    <row r="2">
      <c r="A2" s="5" t="inlineStr">
        <is>
          <t>Unique symbols from Raw Data will appear here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6" t="inlineStr">
        <is>
          <t>Top 20 by Win Rate</t>
        </is>
      </c>
    </row>
    <row r="2">
      <c r="A2" s="7" t="inlineStr">
        <is>
          <t>Rank</t>
        </is>
      </c>
      <c r="B2" s="7" t="inlineStr">
        <is>
          <t>Symbol</t>
        </is>
      </c>
      <c r="C2" s="7" t="inlineStr">
        <is>
          <t>Timeframe</t>
        </is>
      </c>
      <c r="D2" s="7" t="inlineStr">
        <is>
          <t>Preset</t>
        </is>
      </c>
      <c r="E2" s="7" t="inlineStr">
        <is>
          <t>Win Rate (%)</t>
        </is>
      </c>
      <c r="F2" s="7" t="inlineStr">
        <is>
          <t>Profit Factor</t>
        </is>
      </c>
      <c r="G2" s="7" t="inlineStr">
        <is>
          <t>Net Profit (%)</t>
        </is>
      </c>
      <c r="H2" s="7" t="inlineStr">
        <is>
          <t>Max DD (%)</t>
        </is>
      </c>
    </row>
    <row r="25">
      <c r="A25" s="8" t="inlineStr">
        <is>
          <t>Top 20 by Profit Factor</t>
        </is>
      </c>
    </row>
    <row r="26">
      <c r="A26" s="9" t="inlineStr">
        <is>
          <t>Rank</t>
        </is>
      </c>
      <c r="B26" s="9" t="inlineStr">
        <is>
          <t>Symbol</t>
        </is>
      </c>
      <c r="C26" s="9" t="inlineStr">
        <is>
          <t>Timeframe</t>
        </is>
      </c>
      <c r="D26" s="9" t="inlineStr">
        <is>
          <t>Preset</t>
        </is>
      </c>
      <c r="E26" s="9" t="inlineStr">
        <is>
          <t>Win Rate (%)</t>
        </is>
      </c>
      <c r="F26" s="9" t="inlineStr">
        <is>
          <t>Profit Factor</t>
        </is>
      </c>
      <c r="G26" s="9" t="inlineStr">
        <is>
          <t>Net Profit (%)</t>
        </is>
      </c>
      <c r="H26" s="9" t="inlineStr">
        <is>
          <t>Max DD (%)</t>
        </is>
      </c>
    </row>
    <row r="49">
      <c r="A49" s="10" t="inlineStr">
        <is>
          <t>Top 20 by Net Profit (%)</t>
        </is>
      </c>
    </row>
    <row r="50">
      <c r="A50" s="11" t="inlineStr">
        <is>
          <t>Rank</t>
        </is>
      </c>
      <c r="B50" s="11" t="inlineStr">
        <is>
          <t>Symbol</t>
        </is>
      </c>
      <c r="C50" s="11" t="inlineStr">
        <is>
          <t>Timeframe</t>
        </is>
      </c>
      <c r="D50" s="11" t="inlineStr">
        <is>
          <t>Preset</t>
        </is>
      </c>
      <c r="E50" s="11" t="inlineStr">
        <is>
          <t>Win Rate (%)</t>
        </is>
      </c>
      <c r="F50" s="11" t="inlineStr">
        <is>
          <t>Profit Factor</t>
        </is>
      </c>
      <c r="G50" s="11" t="inlineStr">
        <is>
          <t>Net Profit (%)</t>
        </is>
      </c>
      <c r="H50" s="11" t="inlineStr">
        <is>
          <t>Max DD (%)</t>
        </is>
      </c>
    </row>
  </sheetData>
  <mergeCells count="3">
    <mergeCell ref="A25:H25"/>
    <mergeCell ref="A49:H49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Parameter Analysis &amp; Correlation</t>
        </is>
      </c>
    </row>
    <row r="3">
      <c r="A3" s="13" t="inlineStr">
        <is>
          <t>Confluence Score Analysis</t>
        </is>
      </c>
    </row>
    <row r="4">
      <c r="A4" s="7" t="inlineStr">
        <is>
          <t>Min Confluence Score</t>
        </is>
      </c>
      <c r="B4" s="7" t="inlineStr">
        <is>
          <t>Avg Win Rate (%)</t>
        </is>
      </c>
      <c r="C4" s="7" t="inlineStr">
        <is>
          <t>Avg Profit Factor</t>
        </is>
      </c>
      <c r="D4" s="7" t="inlineStr">
        <is>
          <t>Count of Tests</t>
        </is>
      </c>
    </row>
    <row r="5">
      <c r="A5" t="n">
        <v>4</v>
      </c>
      <c r="B5">
        <f>AVERAGEIF('Raw Data'!$O:$O, A5, 'Raw Data'!$AA:$AA)</f>
        <v/>
      </c>
      <c r="C5">
        <f>AVERAGEIF('Raw Data'!$O:$O, A5, 'Raw Data'!$AB:$AB)</f>
        <v/>
      </c>
      <c r="D5">
        <f>COUNTIF('Raw Data'!$O:$O, A5)</f>
        <v/>
      </c>
    </row>
    <row r="6">
      <c r="A6" t="n">
        <v>5</v>
      </c>
      <c r="B6">
        <f>AVERAGEIF('Raw Data'!$O:$O, A6, 'Raw Data'!$AA:$AA)</f>
        <v/>
      </c>
      <c r="C6">
        <f>AVERAGEIF('Raw Data'!$O:$O, A6, 'Raw Data'!$AB:$AB)</f>
        <v/>
      </c>
      <c r="D6">
        <f>COUNTIF('Raw Data'!$O:$O, A6)</f>
        <v/>
      </c>
    </row>
    <row r="7">
      <c r="A7" t="n">
        <v>6</v>
      </c>
      <c r="B7">
        <f>AVERAGEIF('Raw Data'!$O:$O, A7, 'Raw Data'!$AA:$AA)</f>
        <v/>
      </c>
      <c r="C7">
        <f>AVERAGEIF('Raw Data'!$O:$O, A7, 'Raw Data'!$AB:$AB)</f>
        <v/>
      </c>
      <c r="D7">
        <f>COUNTIF('Raw Data'!$O:$O, A7)</f>
        <v/>
      </c>
    </row>
    <row r="8">
      <c r="A8" t="n">
        <v>7</v>
      </c>
      <c r="B8">
        <f>AVERAGEIF('Raw Data'!$O:$O, A8, 'Raw Data'!$AA:$AA)</f>
        <v/>
      </c>
      <c r="C8">
        <f>AVERAGEIF('Raw Data'!$O:$O, A8, 'Raw Data'!$AB:$AB)</f>
        <v/>
      </c>
      <c r="D8">
        <f>COUNTIF('Raw Data'!$O:$O, A8)</f>
        <v/>
      </c>
    </row>
    <row r="9">
      <c r="A9" t="n">
        <v>8</v>
      </c>
      <c r="B9">
        <f>AVERAGEIF('Raw Data'!$O:$O, A9, 'Raw Data'!$AA:$AA)</f>
        <v/>
      </c>
      <c r="C9">
        <f>AVERAGEIF('Raw Data'!$O:$O, A9, 'Raw Data'!$AB:$AB)</f>
        <v/>
      </c>
      <c r="D9">
        <f>COUNTIF('Raw Data'!$O:$O, A9)</f>
        <v/>
      </c>
    </row>
    <row r="11">
      <c r="A11" s="13" t="inlineStr">
        <is>
          <t>RSI Length Analysis</t>
        </is>
      </c>
    </row>
    <row r="12">
      <c r="A12" s="9" t="inlineStr">
        <is>
          <t>RSI Length</t>
        </is>
      </c>
      <c r="B12" s="9" t="inlineStr">
        <is>
          <t>Avg Win Rate (%)</t>
        </is>
      </c>
      <c r="C12" s="9" t="inlineStr">
        <is>
          <t>Avg Profit Factor</t>
        </is>
      </c>
      <c r="D12" s="9" t="inlineStr">
        <is>
          <t>Count of Tests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2" t="inlineStr">
        <is>
          <t>Green vs Red Candle Performance Analysis</t>
        </is>
      </c>
    </row>
    <row r="3">
      <c r="A3" s="13" t="inlineStr">
        <is>
          <t>Overall Performance</t>
        </is>
      </c>
    </row>
    <row r="4">
      <c r="A4" s="7" t="inlineStr">
        <is>
          <t>Candle Type</t>
        </is>
      </c>
      <c r="B4" s="7" t="inlineStr">
        <is>
          <t>Total Trades</t>
        </is>
      </c>
      <c r="C4" s="7" t="inlineStr">
        <is>
          <t>Avg Win Rate (%)</t>
        </is>
      </c>
      <c r="D4" s="7" t="inlineStr">
        <is>
          <t>Avg Profit Factor</t>
        </is>
      </c>
      <c r="E4" s="7" t="inlineStr">
        <is>
          <t>Notes</t>
        </is>
      </c>
    </row>
    <row r="5">
      <c r="A5" t="inlineStr">
        <is>
          <t>Green Candles (Long)</t>
        </is>
      </c>
      <c r="B5">
        <f>SUM('Raw Data'!$AJ:$AJ)</f>
        <v/>
      </c>
      <c r="C5">
        <f>AVERAGE('Raw Data'!$AL:$AL)</f>
        <v/>
      </c>
    </row>
    <row r="6">
      <c r="A6" t="inlineStr">
        <is>
          <t>Red Candles (Short)</t>
        </is>
      </c>
      <c r="B6">
        <f>SUM('Raw Data'!$AK:$AK)</f>
        <v/>
      </c>
      <c r="C6">
        <f>AVERAGE('Raw Data'!$AM:$AM)</f>
        <v/>
      </c>
    </row>
    <row r="9">
      <c r="A9" s="13" t="inlineStr">
        <is>
          <t>Performance by Category</t>
        </is>
      </c>
    </row>
    <row r="10">
      <c r="A10" s="9" t="inlineStr">
        <is>
          <t>Category</t>
        </is>
      </c>
      <c r="B10" s="9" t="inlineStr">
        <is>
          <t>Green Candle WR (%)</t>
        </is>
      </c>
      <c r="C10" s="9" t="inlineStr">
        <is>
          <t>Red Candle WR (%)</t>
        </is>
      </c>
      <c r="D10" s="9" t="inlineStr">
        <is>
          <t>Difference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4" t="inlineStr">
        <is>
          <t>Charts &amp; Visualizations</t>
        </is>
      </c>
    </row>
    <row r="3">
      <c r="A3" s="15" t="inlineStr">
        <is>
          <t>📊 Recommended Charts to Create:</t>
        </is>
      </c>
    </row>
    <row r="4"/>
    <row r="5">
      <c r="A5" s="16" t="inlineStr">
        <is>
          <t>1. Win Rate by Category (Bar Chart)</t>
        </is>
      </c>
    </row>
    <row r="6">
      <c r="A6" t="inlineStr">
        <is>
          <t xml:space="preserve">   - Data: Summary by Category sheet, columns A &amp; B</t>
        </is>
      </c>
    </row>
    <row r="7">
      <c r="A7" t="inlineStr">
        <is>
          <t xml:space="preserve">   - Chart Type: Clustered Column</t>
        </is>
      </c>
    </row>
    <row r="8"/>
    <row r="9">
      <c r="A9" s="16" t="inlineStr">
        <is>
          <t>2. Profit Factor by Timeframe (Line Chart)</t>
        </is>
      </c>
    </row>
    <row r="10">
      <c r="A10" t="inlineStr">
        <is>
          <t xml:space="preserve">   - Data: Summary by Timeframe sheet, columns A &amp; C</t>
        </is>
      </c>
    </row>
    <row r="11">
      <c r="A11" t="inlineStr">
        <is>
          <t xml:space="preserve">   - Chart Type: Line with Markers</t>
        </is>
      </c>
    </row>
    <row r="12"/>
    <row r="13">
      <c r="A13" s="16" t="inlineStr">
        <is>
          <t>3. Net Profit vs Max Drawdown (Scatter Plot)</t>
        </is>
      </c>
    </row>
    <row r="14">
      <c r="A14" t="inlineStr">
        <is>
          <t xml:space="preserve">   - Data: Raw Data sheet, columns U &amp; Z</t>
        </is>
      </c>
    </row>
    <row r="15">
      <c r="A15" t="inlineStr">
        <is>
          <t xml:space="preserve">   - Chart Type: Scatter</t>
        </is>
      </c>
    </row>
    <row r="16">
      <c r="A16" t="inlineStr">
        <is>
          <t xml:space="preserve">   - Color by: Category (column D)</t>
        </is>
      </c>
    </row>
    <row r="17"/>
    <row r="18">
      <c r="A18" s="16" t="inlineStr">
        <is>
          <t>4. Category vs Timeframe Heatmap</t>
        </is>
      </c>
    </row>
    <row r="19">
      <c r="A19" t="inlineStr">
        <is>
          <t xml:space="preserve">   - Create pivot table with Category (rows) and Timeframe (columns)</t>
        </is>
      </c>
    </row>
    <row r="20">
      <c r="A20" t="inlineStr">
        <is>
          <t xml:space="preserve">   - Values: Average Win Rate</t>
        </is>
      </c>
    </row>
    <row r="21">
      <c r="A21" t="inlineStr">
        <is>
          <t xml:space="preserve">   - Apply conditional formatting (color scale)</t>
        </is>
      </c>
    </row>
    <row r="22"/>
    <row r="23">
      <c r="A23" s="16" t="inlineStr">
        <is>
          <t>5. Confluence Score Distribution (Histogram)</t>
        </is>
      </c>
    </row>
    <row r="24">
      <c r="A24" t="inlineStr">
        <is>
          <t xml:space="preserve">   - Data: Parameter Analysis sheet</t>
        </is>
      </c>
    </row>
    <row r="25">
      <c r="A25" t="inlineStr">
        <is>
          <t xml:space="preserve">   - Chart Type: Column Chart</t>
        </is>
      </c>
    </row>
    <row r="26"/>
    <row r="27">
      <c r="A27" s="16" t="inlineStr">
        <is>
          <t>6. Green vs Red Candle Performance (Comparison Chart)</t>
        </is>
      </c>
    </row>
    <row r="28">
      <c r="A28" t="inlineStr">
        <is>
          <t xml:space="preserve">   - Data: Candle Analysis sheet</t>
        </is>
      </c>
    </row>
    <row r="29">
      <c r="A29" t="inlineStr">
        <is>
          <t xml:space="preserve">   - Chart Type: Clustered Bar</t>
        </is>
      </c>
    </row>
    <row r="30"/>
    <row r="31">
      <c r="A31" t="inlineStr">
        <is>
          <t>📌 Note: Charts can be created manually in Excel/Google Sheets</t>
        </is>
      </c>
    </row>
    <row r="32">
      <c r="A32" t="inlineStr">
        <is>
          <t xml:space="preserve">   using Insert &gt; Chart and selecting the recommended data ranges.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2026-02-03T14:28:27Z</dcterms:created>
  <dcterms:modified xmlns:dcterms="http://purl.org/dc/terms/" xmlns:xsi="http://www.w3.org/2001/XMLSchema-instance" xsi:type="dcterms:W3CDTF">2026-02-03T14:29:33Z</dcterms:modified>
</cp:coreProperties>
</file>